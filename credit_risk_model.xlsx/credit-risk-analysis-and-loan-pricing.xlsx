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510"/>
  <workbookPr codeName="ThisWorkbook"/>
  <mc:AlternateContent xmlns:mc="http://schemas.openxmlformats.org/markup-compatibility/2006">
    <mc:Choice Requires="x15">
      <x15ac:absPath xmlns:x15ac="http://schemas.microsoft.com/office/spreadsheetml/2010/11/ac" url="/Users/edoardomori/Desktop/GitHub/FI_2/"/>
    </mc:Choice>
  </mc:AlternateContent>
  <xr:revisionPtr revIDLastSave="0" documentId="13_ncr:2001_{909C92D7-EBB8-EC46-BD12-814BCD7E8B22}" xr6:coauthVersionLast="47" xr6:coauthVersionMax="47" xr10:uidLastSave="{00000000-0000-0000-0000-000000000000}"/>
  <bookViews>
    <workbookView xWindow="0" yWindow="760" windowWidth="34560" windowHeight="20100" xr2:uid="{00000000-000D-0000-FFFF-FFFF00000000}"/>
  </bookViews>
  <sheets>
    <sheet name="Corporate Credit Assessment" sheetId="9" r:id="rId1"/>
    <sheet name="Credit Scoring Analysis" sheetId="10" r:id="rId2"/>
    <sheet name="Default Prob. &amp; Credit Spread" sheetId="11" r:id="rId3"/>
  </sheets>
  <definedNames>
    <definedName name="solver_eng" localSheetId="1" hidden="1">1</definedName>
    <definedName name="solver_neg" localSheetId="1" hidden="1">1</definedName>
    <definedName name="solver_num" localSheetId="1" hidden="1">0</definedName>
    <definedName name="solver_opt" localSheetId="1" hidden="1">'Credit Scoring Analysis'!$E$4</definedName>
    <definedName name="solver_typ" localSheetId="1" hidden="1">1</definedName>
    <definedName name="solver_val" localSheetId="1" hidden="1">0</definedName>
    <definedName name="solver_ver" localSheetId="1" hidden="1">3</definedName>
  </definedNames>
  <calcPr calcId="191028"/>
  <fileRecoveryPr repairLoad="1"/>
  <extLst>
    <ext xmlns:x14="http://schemas.microsoft.com/office/spreadsheetml/2009/9/main" uri="{79F54976-1DA5-4618-B147-4CDE4B953A38}">
      <x14:workbookPr defaultImageDpi="330"/>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9" i="11" l="1"/>
  <c r="C88" i="11"/>
  <c r="C46" i="11" l="1"/>
  <c r="C45" i="11"/>
  <c r="C44" i="11"/>
  <c r="C43" i="11"/>
  <c r="C42" i="11"/>
  <c r="C48" i="11" l="1"/>
  <c r="C49" i="11" s="1"/>
  <c r="C50" i="11" s="1"/>
  <c r="P97" i="10"/>
  <c r="J79" i="10"/>
  <c r="J80" i="10" s="1"/>
  <c r="J81" i="10" s="1"/>
  <c r="J82" i="10" s="1"/>
  <c r="J83" i="10" s="1"/>
  <c r="J84" i="10" s="1"/>
  <c r="J85" i="10" s="1"/>
  <c r="J86" i="10" s="1"/>
  <c r="J87" i="10" s="1"/>
  <c r="J88" i="10" s="1"/>
  <c r="J89" i="10" s="1"/>
  <c r="J90" i="10" s="1"/>
  <c r="J91" i="10" s="1"/>
  <c r="J92" i="10" s="1"/>
  <c r="J93" i="10" s="1"/>
  <c r="J94" i="10" s="1"/>
  <c r="J95" i="10" s="1"/>
  <c r="J96" i="10" s="1"/>
  <c r="J97" i="10" s="1"/>
  <c r="J98" i="10" s="1"/>
  <c r="J99" i="10" s="1"/>
  <c r="J100" i="10" s="1"/>
  <c r="J101" i="10" s="1"/>
  <c r="J102" i="10" s="1"/>
  <c r="J103" i="10" s="1"/>
  <c r="J104" i="10" s="1"/>
  <c r="J105" i="10" s="1"/>
  <c r="J106" i="10" s="1"/>
  <c r="J107" i="10" s="1"/>
  <c r="J108" i="10" s="1"/>
  <c r="J109" i="10" s="1"/>
  <c r="J41" i="10"/>
  <c r="J42" i="10" s="1"/>
  <c r="J43" i="10" s="1"/>
  <c r="J44" i="10" s="1"/>
  <c r="J45" i="10" s="1"/>
  <c r="J46" i="10" s="1"/>
  <c r="J47" i="10" s="1"/>
  <c r="J48" i="10" s="1"/>
  <c r="J49" i="10" s="1"/>
  <c r="J50" i="10" s="1"/>
  <c r="J51" i="10" s="1"/>
  <c r="J52" i="10" s="1"/>
  <c r="J53" i="10" s="1"/>
  <c r="J54" i="10" s="1"/>
  <c r="J55" i="10" s="1"/>
  <c r="J56" i="10" s="1"/>
  <c r="J57" i="10" s="1"/>
  <c r="J58" i="10" s="1"/>
  <c r="J59" i="10" s="1"/>
  <c r="J60" i="10" s="1"/>
  <c r="J61" i="10" s="1"/>
  <c r="J62" i="10" s="1"/>
  <c r="J63" i="10" s="1"/>
  <c r="J64" i="10" s="1"/>
  <c r="J65" i="10" s="1"/>
  <c r="J66" i="10" s="1"/>
  <c r="J67" i="10" s="1"/>
  <c r="J68" i="10" s="1"/>
  <c r="J69" i="10" s="1"/>
  <c r="J70" i="10" s="1"/>
  <c r="J71" i="10" s="1"/>
  <c r="K21" i="10"/>
  <c r="U23" i="10"/>
  <c r="U22" i="10"/>
  <c r="U21" i="10"/>
  <c r="K29" i="10"/>
  <c r="L27" i="10"/>
  <c r="K27" i="10"/>
  <c r="K26" i="10"/>
  <c r="M26" i="10"/>
  <c r="M25" i="10"/>
  <c r="L25" i="10"/>
  <c r="M27" i="10"/>
  <c r="L26" i="10"/>
  <c r="K25" i="10"/>
  <c r="L23" i="10"/>
  <c r="K23" i="10"/>
  <c r="K22" i="10"/>
  <c r="M22" i="10"/>
  <c r="M21" i="10"/>
  <c r="L21" i="10"/>
  <c r="M23" i="10"/>
  <c r="L22" i="10"/>
  <c r="L10" i="10"/>
  <c r="M10" i="10"/>
  <c r="N10" i="10"/>
  <c r="L11" i="10"/>
  <c r="M11" i="10"/>
  <c r="N11" i="10"/>
  <c r="K11" i="10"/>
  <c r="K10" i="10"/>
  <c r="L8" i="10"/>
  <c r="M8" i="10"/>
  <c r="N8" i="10"/>
  <c r="L9" i="10"/>
  <c r="M9" i="10"/>
  <c r="N9" i="10"/>
  <c r="K9" i="10"/>
  <c r="K8" i="10"/>
  <c r="L7" i="10"/>
  <c r="M7" i="10"/>
  <c r="N7" i="10"/>
  <c r="K7" i="10"/>
  <c r="L6" i="10"/>
  <c r="M6" i="10"/>
  <c r="N6" i="10"/>
  <c r="K6" i="10"/>
  <c r="L5" i="10"/>
  <c r="M5" i="10"/>
  <c r="N5" i="10"/>
  <c r="L4" i="10"/>
  <c r="M4" i="10"/>
  <c r="N4" i="10"/>
  <c r="K5" i="10"/>
  <c r="K4" i="10"/>
  <c r="N30" i="10" l="1"/>
  <c r="N29" i="10"/>
  <c r="Q23" i="10" l="1"/>
  <c r="R23" i="10"/>
  <c r="Q22" i="10"/>
  <c r="R22" i="10"/>
  <c r="P22" i="10"/>
  <c r="P23" i="10"/>
  <c r="Q21" i="10"/>
  <c r="R21" i="10"/>
  <c r="P21" i="10"/>
  <c r="P25" i="10" s="1" a="1"/>
  <c r="P25" i="10" s="1"/>
  <c r="K34" i="10" s="1" a="1"/>
  <c r="K34" i="10" s="1"/>
  <c r="K92" i="10" l="1" a="1"/>
  <c r="K92" i="10" s="1"/>
  <c r="L92" i="10" s="1"/>
  <c r="K105" i="10" a="1"/>
  <c r="K105" i="10" s="1"/>
  <c r="L105" i="10" s="1"/>
  <c r="K41" i="10" a="1"/>
  <c r="K41" i="10" s="1"/>
  <c r="K94" i="10" a="1"/>
  <c r="K94" i="10" s="1"/>
  <c r="L94" i="10" s="1"/>
  <c r="K101" i="10" a="1"/>
  <c r="K101" i="10" s="1"/>
  <c r="L101" i="10" s="1"/>
  <c r="K85" i="10" a="1"/>
  <c r="K85" i="10" s="1"/>
  <c r="L85" i="10" s="1"/>
  <c r="K99" i="10" a="1"/>
  <c r="K99" i="10" s="1"/>
  <c r="L99" i="10" s="1"/>
  <c r="K40" i="10" a="1"/>
  <c r="K40" i="10" s="1"/>
  <c r="K79" i="10" a="1"/>
  <c r="K79" i="10" s="1"/>
  <c r="L79" i="10" s="1"/>
  <c r="K86" i="10" a="1"/>
  <c r="K86" i="10" s="1"/>
  <c r="L86" i="10" s="1"/>
  <c r="K93" i="10" a="1"/>
  <c r="K93" i="10" s="1"/>
  <c r="L93" i="10" s="1"/>
  <c r="K106" i="10" a="1"/>
  <c r="K106" i="10" s="1"/>
  <c r="L106" i="10" s="1"/>
  <c r="K80" i="10" a="1"/>
  <c r="K80" i="10" s="1"/>
  <c r="L80" i="10" s="1"/>
  <c r="K100" i="10" a="1"/>
  <c r="K100" i="10" s="1"/>
  <c r="L100" i="10" s="1"/>
  <c r="K87" i="10" a="1"/>
  <c r="K87" i="10" s="1"/>
  <c r="L87" i="10" s="1"/>
  <c r="K107" i="10" a="1"/>
  <c r="K107" i="10" s="1"/>
  <c r="L107" i="10" s="1"/>
  <c r="K81" i="10" a="1"/>
  <c r="K81" i="10" s="1"/>
  <c r="L81" i="10" s="1"/>
  <c r="K88" i="10" a="1"/>
  <c r="K88" i="10" s="1"/>
  <c r="L88" i="10" s="1"/>
  <c r="K95" i="10" a="1"/>
  <c r="K95" i="10" s="1"/>
  <c r="L95" i="10" s="1"/>
  <c r="K108" i="10" a="1"/>
  <c r="K108" i="10" s="1"/>
  <c r="L108" i="10" s="1"/>
  <c r="K82" i="10" a="1"/>
  <c r="K82" i="10" s="1"/>
  <c r="L82" i="10" s="1"/>
  <c r="K102" i="10" a="1"/>
  <c r="K102" i="10" s="1"/>
  <c r="L102" i="10" s="1"/>
  <c r="K89" i="10" a="1"/>
  <c r="K89" i="10" s="1"/>
  <c r="L89" i="10" s="1"/>
  <c r="K96" i="10" a="1"/>
  <c r="K96" i="10" s="1"/>
  <c r="L96" i="10" s="1"/>
  <c r="K109" i="10" a="1"/>
  <c r="K109" i="10" s="1"/>
  <c r="L109" i="10" s="1"/>
  <c r="K83" i="10" a="1"/>
  <c r="K83" i="10" s="1"/>
  <c r="L83" i="10" s="1"/>
  <c r="K90" i="10" a="1"/>
  <c r="K90" i="10" s="1"/>
  <c r="L90" i="10" s="1"/>
  <c r="K103" i="10" a="1"/>
  <c r="K103" i="10" s="1"/>
  <c r="L103" i="10" s="1"/>
  <c r="K78" i="10" a="1"/>
  <c r="K78" i="10" s="1"/>
  <c r="K97" i="10" a="1"/>
  <c r="K97" i="10" s="1"/>
  <c r="L97" i="10" s="1"/>
  <c r="K104" i="10" a="1"/>
  <c r="K104" i="10" s="1"/>
  <c r="L104" i="10" s="1"/>
  <c r="K84" i="10" a="1"/>
  <c r="K84" i="10" s="1"/>
  <c r="L84" i="10" s="1"/>
  <c r="K91" i="10" a="1"/>
  <c r="K91" i="10" s="1"/>
  <c r="L91" i="10" s="1"/>
  <c r="K98" i="10" a="1"/>
  <c r="K98" i="10" s="1"/>
  <c r="L98" i="10" s="1"/>
  <c r="H4" i="10" a="1"/>
  <c r="H4" i="10" s="1"/>
  <c r="K44" i="10" a="1"/>
  <c r="K44" i="10" s="1"/>
  <c r="K42" i="10" a="1"/>
  <c r="K42" i="10" s="1"/>
  <c r="H5" i="10" a="1"/>
  <c r="H5" i="10" s="1"/>
  <c r="H6" i="10" a="1"/>
  <c r="H6" i="10" s="1"/>
  <c r="H7" i="10" a="1"/>
  <c r="H7" i="10" s="1"/>
  <c r="H8" i="10" a="1"/>
  <c r="H8" i="10" s="1"/>
  <c r="H9" i="10" a="1"/>
  <c r="H9" i="10" s="1"/>
  <c r="H10" i="10" a="1"/>
  <c r="H10" i="10" s="1"/>
  <c r="H11" i="10" a="1"/>
  <c r="H11" i="10" s="1"/>
  <c r="H12" i="10" a="1"/>
  <c r="H12" i="10" s="1"/>
  <c r="H13" i="10" a="1"/>
  <c r="H13" i="10" s="1"/>
  <c r="H14" i="10" a="1"/>
  <c r="H14" i="10" s="1"/>
  <c r="H15" i="10" a="1"/>
  <c r="H15" i="10" s="1"/>
  <c r="H16" i="10" a="1"/>
  <c r="H16" i="10" s="1"/>
  <c r="H17" i="10" a="1"/>
  <c r="H17" i="10" s="1"/>
  <c r="H18" i="10" a="1"/>
  <c r="H18" i="10" s="1"/>
  <c r="H19" i="10" a="1"/>
  <c r="H19" i="10" s="1"/>
  <c r="H20" i="10" a="1"/>
  <c r="H20" i="10" s="1"/>
  <c r="H21" i="10" a="1"/>
  <c r="H21" i="10" s="1"/>
  <c r="H22" i="10" a="1"/>
  <c r="H22" i="10" s="1"/>
  <c r="H23" i="10" a="1"/>
  <c r="H23" i="10" s="1"/>
  <c r="H24" i="10" a="1"/>
  <c r="H24" i="10" s="1"/>
  <c r="H25" i="10" a="1"/>
  <c r="H25" i="10" s="1"/>
  <c r="H26" i="10" a="1"/>
  <c r="H26" i="10" s="1"/>
  <c r="H27" i="10" a="1"/>
  <c r="H27" i="10" s="1"/>
  <c r="H28" i="10" a="1"/>
  <c r="H28" i="10" s="1"/>
  <c r="H29" i="10" a="1"/>
  <c r="H29" i="10" s="1"/>
  <c r="H30" i="10" a="1"/>
  <c r="H30" i="10" s="1"/>
  <c r="H31" i="10" a="1"/>
  <c r="H31" i="10" s="1"/>
  <c r="H32" i="10" a="1"/>
  <c r="H32" i="10" s="1"/>
  <c r="H33" i="10" a="1"/>
  <c r="H33" i="10" s="1"/>
  <c r="H34" i="10" a="1"/>
  <c r="H34" i="10" s="1"/>
  <c r="H35" i="10" a="1"/>
  <c r="H35" i="10" s="1"/>
  <c r="K67" i="10" a="1"/>
  <c r="K67" i="10" s="1"/>
  <c r="K68" i="10" a="1"/>
  <c r="K68" i="10" s="1"/>
  <c r="K69" i="10" a="1"/>
  <c r="K69" i="10" s="1"/>
  <c r="K70" i="10" a="1"/>
  <c r="K70" i="10" s="1"/>
  <c r="K71" i="10" a="1"/>
  <c r="K71" i="10" s="1"/>
  <c r="K61" i="10" a="1"/>
  <c r="K61" i="10" s="1"/>
  <c r="K62" i="10" a="1"/>
  <c r="K62" i="10" s="1"/>
  <c r="K63" i="10" a="1"/>
  <c r="K63" i="10" s="1"/>
  <c r="K64" i="10" a="1"/>
  <c r="K64" i="10" s="1"/>
  <c r="K65" i="10" a="1"/>
  <c r="K65" i="10" s="1"/>
  <c r="K66" i="10" a="1"/>
  <c r="K66" i="10" s="1"/>
  <c r="K43" i="10" a="1"/>
  <c r="K43" i="10" s="1"/>
  <c r="K45" i="10" a="1"/>
  <c r="K45" i="10" s="1"/>
  <c r="K46" i="10" a="1"/>
  <c r="K46" i="10" s="1"/>
  <c r="K47" i="10" a="1"/>
  <c r="K47" i="10" s="1"/>
  <c r="K48" i="10" a="1"/>
  <c r="K48" i="10" s="1"/>
  <c r="K49" i="10" a="1"/>
  <c r="K49" i="10" s="1"/>
  <c r="K50" i="10" a="1"/>
  <c r="K50" i="10" s="1"/>
  <c r="K51" i="10" a="1"/>
  <c r="K51" i="10" s="1"/>
  <c r="K52" i="10" a="1"/>
  <c r="K52" i="10" s="1"/>
  <c r="K53" i="10" a="1"/>
  <c r="K53" i="10" s="1"/>
  <c r="K54" i="10" a="1"/>
  <c r="K54" i="10" s="1"/>
  <c r="K55" i="10" a="1"/>
  <c r="K55" i="10" s="1"/>
  <c r="K56" i="10" a="1"/>
  <c r="K56" i="10" s="1"/>
  <c r="K57" i="10" a="1"/>
  <c r="K57" i="10" s="1"/>
  <c r="K58" i="10" a="1"/>
  <c r="K58" i="10" s="1"/>
  <c r="K59" i="10" a="1"/>
  <c r="K59" i="10" s="1"/>
  <c r="K60" i="10" a="1"/>
  <c r="K60" i="10" s="1"/>
  <c r="T81" i="10" l="1"/>
  <c r="T79" i="10"/>
  <c r="T83" i="10"/>
  <c r="T80" i="10"/>
  <c r="L78" i="10"/>
  <c r="T82" i="10"/>
  <c r="T78" i="10"/>
  <c r="N42" i="10"/>
  <c r="N41" i="10"/>
  <c r="N44" i="10" s="1"/>
  <c r="L40" i="10" s="1"/>
  <c r="L60" i="10" l="1"/>
  <c r="L59" i="10"/>
  <c r="L58" i="10"/>
  <c r="L57" i="10"/>
  <c r="L56" i="10"/>
  <c r="L55" i="10"/>
  <c r="L54" i="10"/>
  <c r="L53" i="10"/>
  <c r="L52" i="10"/>
  <c r="L51" i="10"/>
  <c r="L50" i="10"/>
  <c r="L49" i="10"/>
  <c r="L48" i="10"/>
  <c r="L47" i="10"/>
  <c r="L46" i="10"/>
  <c r="L45" i="10"/>
  <c r="L44" i="10"/>
  <c r="L43" i="10"/>
  <c r="L42" i="10"/>
  <c r="L41" i="10"/>
  <c r="L66" i="10"/>
  <c r="L65" i="10"/>
  <c r="L64" i="10"/>
  <c r="L63" i="10"/>
  <c r="L62" i="10"/>
  <c r="L61" i="10"/>
  <c r="L71" i="10"/>
  <c r="L70" i="10"/>
  <c r="L69" i="10"/>
  <c r="L68" i="10"/>
  <c r="L67" i="10"/>
  <c r="I4" i="10"/>
  <c r="I35" i="10"/>
  <c r="I34" i="10"/>
  <c r="I33" i="10"/>
  <c r="I32" i="10"/>
  <c r="I31" i="10"/>
  <c r="I30" i="10"/>
  <c r="I29" i="10"/>
  <c r="I28" i="10"/>
  <c r="I27" i="10"/>
  <c r="I26" i="10"/>
  <c r="I25" i="10"/>
  <c r="I24" i="10"/>
  <c r="I23" i="10"/>
  <c r="I22" i="10"/>
  <c r="I21" i="10"/>
  <c r="I20" i="10"/>
  <c r="I19" i="10"/>
  <c r="I18" i="10"/>
  <c r="I17" i="10"/>
  <c r="I16" i="10"/>
  <c r="I15" i="10"/>
  <c r="I14" i="10"/>
  <c r="I13" i="10"/>
  <c r="I12" i="10"/>
  <c r="I11" i="10"/>
  <c r="I10" i="10"/>
  <c r="I9" i="10"/>
  <c r="I8" i="10"/>
  <c r="I7" i="10"/>
  <c r="I6" i="10"/>
  <c r="I5"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<sst xmlns="http://schemas.openxmlformats.org/spreadsheetml/2006/main" count="399" uniqueCount="241">
  <si>
    <t>Balance sheet</t>
  </si>
  <si>
    <t>Firm</t>
  </si>
  <si>
    <t>ROS (%)</t>
  </si>
  <si>
    <t>Leverage</t>
  </si>
  <si>
    <t>ICR</t>
  </si>
  <si>
    <t>CRR</t>
  </si>
  <si>
    <t>ABC</t>
  </si>
  <si>
    <t>XYZ</t>
  </si>
  <si>
    <t>Defaulted</t>
  </si>
  <si>
    <t>Firm 1</t>
  </si>
  <si>
    <t>Firm 2</t>
  </si>
  <si>
    <t>Firm 3</t>
  </si>
  <si>
    <t>Firm 4</t>
  </si>
  <si>
    <t>Firm 5</t>
  </si>
  <si>
    <t>Firm 6</t>
  </si>
  <si>
    <t>Firm 7</t>
  </si>
  <si>
    <t>Firm 8</t>
  </si>
  <si>
    <t>Firm 9</t>
  </si>
  <si>
    <t>Firm 10</t>
  </si>
  <si>
    <t>Firm 11</t>
  </si>
  <si>
    <t>Firm 12</t>
  </si>
  <si>
    <t>Firm 13</t>
  </si>
  <si>
    <t>Firm 14</t>
  </si>
  <si>
    <t>Firm 15</t>
  </si>
  <si>
    <t>Firm 16</t>
  </si>
  <si>
    <t>Firm 17</t>
  </si>
  <si>
    <t>Firm 18</t>
  </si>
  <si>
    <t>Firm 19</t>
  </si>
  <si>
    <t>Firm 20</t>
  </si>
  <si>
    <t>Firm 21</t>
  </si>
  <si>
    <t>Firm 22</t>
  </si>
  <si>
    <t>Firm 23</t>
  </si>
  <si>
    <t>Firm 24</t>
  </si>
  <si>
    <t>Firm 25</t>
  </si>
  <si>
    <t>Firm 26</t>
  </si>
  <si>
    <t>Firm 27</t>
  </si>
  <si>
    <t>Firm 28</t>
  </si>
  <si>
    <t>Firm 29</t>
  </si>
  <si>
    <t>Firm 30</t>
  </si>
  <si>
    <t>Firm 31</t>
  </si>
  <si>
    <t>Firm 32</t>
  </si>
  <si>
    <t>A</t>
  </si>
  <si>
    <t>B</t>
  </si>
  <si>
    <t>C</t>
  </si>
  <si>
    <t>d1</t>
  </si>
  <si>
    <t>d2</t>
  </si>
  <si>
    <t>Corporate Credit Assessment</t>
  </si>
  <si>
    <t>Loan Application Analysis – ABC vs XYZ</t>
  </si>
  <si>
    <t>Company</t>
  </si>
  <si>
    <t>Sector</t>
  </si>
  <si>
    <t>Loan Request</t>
  </si>
  <si>
    <t>Maturity</t>
  </si>
  <si>
    <t>Equity Market Cap (USD bn)</t>
  </si>
  <si>
    <t>Asset Volatility</t>
  </si>
  <si>
    <t>Face Value of Debt (USD bn)</t>
  </si>
  <si>
    <t>Asset Value (USD bn)</t>
  </si>
  <si>
    <t>Z-Score</t>
  </si>
  <si>
    <t>Internal Rating</t>
  </si>
  <si>
    <t>Loan Decision</t>
  </si>
  <si>
    <t>Consumer / Service</t>
  </si>
  <si>
    <t>USD 100M</t>
  </si>
  <si>
    <t>2 Years</t>
  </si>
  <si>
    <t>1.90%</t>
  </si>
  <si>
    <t>-0.14</t>
  </si>
  <si>
    <t>1.15</t>
  </si>
  <si>
    <t>0.18</t>
  </si>
  <si>
    <t>12.03</t>
  </si>
  <si>
    <t>Approved</t>
  </si>
  <si>
    <t>0.50%</t>
  </si>
  <si>
    <t>0.11</t>
  </si>
  <si>
    <t>2.46</t>
  </si>
  <si>
    <t>0.16</t>
  </si>
  <si>
    <t>4.02</t>
  </si>
  <si>
    <t>Rejected</t>
  </si>
  <si>
    <t>Interest Coverage Ratio (ICR)</t>
  </si>
  <si>
    <t>Customer Retention Rate (CRR)</t>
  </si>
  <si>
    <t>Assess the creditworthiness of two publicly traded companies and determine:
1. whether to approve the loan
2. the internal rating
3. the appropriate loan pricing</t>
  </si>
  <si>
    <t>Historical Sample Dataset</t>
  </si>
  <si>
    <t>Variable Selection Analysis</t>
  </si>
  <si>
    <t>CRR was excluded from the discriminant model due to its limited discriminatory power across healthy and distressed firms.</t>
  </si>
  <si>
    <t>Discriminant Weight Vector</t>
  </si>
  <si>
    <t>Healthy Firms</t>
  </si>
  <si>
    <t>Distressed Firms</t>
  </si>
  <si>
    <t>Std Dev Healthy</t>
  </si>
  <si>
    <t xml:space="preserve">Std Dev Distressed </t>
  </si>
  <si>
    <t>Min Healthy</t>
  </si>
  <si>
    <t>Min Distressed</t>
  </si>
  <si>
    <t>Max Healthy</t>
  </si>
  <si>
    <t>Max Distressed</t>
  </si>
  <si>
    <t>Inverse Weighted Covariance Matrix</t>
  </si>
  <si>
    <t>Predicted Default Z-Score &lt; alpha</t>
  </si>
  <si>
    <t>Mean Vectors by Firm Category</t>
  </si>
  <si>
    <t>Covariance Matrix – Healthy Firms</t>
  </si>
  <si>
    <t>Covariance Matrix – Distressed Firms</t>
  </si>
  <si>
    <t>Weighted Covariance Matrix</t>
  </si>
  <si>
    <t>Difference in Mean Vectors</t>
  </si>
  <si>
    <t>Total Firms</t>
  </si>
  <si>
    <t>Healthy Ratio</t>
  </si>
  <si>
    <t>Distressed Ratio</t>
  </si>
  <si>
    <t>Discriminant Coefficients Vector (γ)</t>
  </si>
  <si>
    <t>Credit Classification and Threshold Analysis</t>
  </si>
  <si>
    <t>Predicted Default</t>
  </si>
  <si>
    <t>Classification Threshold</t>
  </si>
  <si>
    <t>Mean Healthy Z-Score</t>
  </si>
  <si>
    <t>Mean Distressed Z-Score</t>
  </si>
  <si>
    <t>Cutoff α</t>
  </si>
  <si>
    <t>Actual Default</t>
  </si>
  <si>
    <t>Actual Category</t>
  </si>
  <si>
    <t>Predicted Category</t>
  </si>
  <si>
    <t>Classification Result</t>
  </si>
  <si>
    <t>Error Type</t>
  </si>
  <si>
    <t>Healthy</t>
  </si>
  <si>
    <t>Correct</t>
  </si>
  <si>
    <t>-</t>
  </si>
  <si>
    <t>Distressed</t>
  </si>
  <si>
    <t>Misclassified</t>
  </si>
  <si>
    <t>Type II Error</t>
  </si>
  <si>
    <t>Type I Error</t>
  </si>
  <si>
    <t>Internal Rating Assignment and Risk Segmentation</t>
  </si>
  <si>
    <t>Model Classification Performance</t>
  </si>
  <si>
    <t>Type I Errors</t>
  </si>
  <si>
    <t>Type II Errors</t>
  </si>
  <si>
    <t>Distribution Statistics</t>
  </si>
  <si>
    <t>Minimum Z-Score</t>
  </si>
  <si>
    <t>Maximum Z-Score</t>
  </si>
  <si>
    <t>Mean Z-Score</t>
  </si>
  <si>
    <t>Q1</t>
  </si>
  <si>
    <t>Median (Q2)</t>
  </si>
  <si>
    <t>Q3</t>
  </si>
  <si>
    <t>Rating buckets were constructed using the empirical distribution of Z-scores and internal risk segmentation criteria.</t>
  </si>
  <si>
    <t>Internal Rating Scale</t>
  </si>
  <si>
    <t>Rating</t>
  </si>
  <si>
    <t>Z-Score Range</t>
  </si>
  <si>
    <t>Z &gt; 6.5</t>
  </si>
  <si>
    <t>5 &lt; Z ≤ 6.5</t>
  </si>
  <si>
    <t>4 &lt; Z ≤ 5</t>
  </si>
  <si>
    <t>Z ≤ 4</t>
  </si>
  <si>
    <t>Overall Classification Accuracy</t>
  </si>
  <si>
    <t>Credit Default Probability and Spread Estimation</t>
  </si>
  <si>
    <t>S&amp;P Default Probability Benchmarking</t>
  </si>
  <si>
    <t>Horizon</t>
  </si>
  <si>
    <t>Probability of Default</t>
  </si>
  <si>
    <t>1-Year PD</t>
  </si>
  <si>
    <t>0.05%</t>
  </si>
  <si>
    <t>2-Year PD</t>
  </si>
  <si>
    <t>0.11%</t>
  </si>
  <si>
    <t>Assigned internal rating: A</t>
  </si>
  <si>
    <t>The approved borrower was internally classified as A-rated. Based on S&amp;P historical transition statistics, the estimated cumulative probability of default equals 0.05% over one year and 0.11% over two years, confirming a low-risk credit profile consistent with investment-grade borrowers.</t>
  </si>
  <si>
    <t>Input / Metric</t>
  </si>
  <si>
    <t>Value</t>
  </si>
  <si>
    <t>Equity Market Cap</t>
  </si>
  <si>
    <t>Face Value of Debt</t>
  </si>
  <si>
    <t>Asset Value</t>
  </si>
  <si>
    <t>Risk-Free Rate</t>
  </si>
  <si>
    <t>Time to Maturity</t>
  </si>
  <si>
    <t>Risk-Neutral PD</t>
  </si>
  <si>
    <t>Merton Structural Credit Risk Model</t>
  </si>
  <si>
    <t>Market-implied default probability estimation based on firm leverage and asset volatility</t>
  </si>
  <si>
    <t>Merton Structural Credit Risk Model
The Merton (1974) model is a structural credit risk framework used to estimate the probability that a company will default on its debt obligations. The model is based on option pricing theory and interprets a firm’s equity as a call option on the value of its assets.
Within this framework, default occurs when the market value of the firm’s assets is lower than the promised debt repayment at maturity. Consequently, the probability of default depends on the company’s leverage, asset volatility, capital structure and time remaining until debt maturity.
The model is widely used in credit risk management, corporate lending and quantitative finance because it provides a forward-looking, market-implied estimate of default risk rather than relying exclusively on historical accounting information or rating agency statistics.</t>
  </si>
  <si>
    <t>The Merton framework is defined by the following equations:</t>
  </si>
  <si>
    <t>Variable</t>
  </si>
  <si>
    <t>Description</t>
  </si>
  <si>
    <t>V</t>
  </si>
  <si>
    <t>D</t>
  </si>
  <si>
    <t>Face value of debt</t>
  </si>
  <si>
    <t>r</t>
  </si>
  <si>
    <t>Risk-free interest rate</t>
  </si>
  <si>
    <t>Asset volatility</t>
  </si>
  <si>
    <t>T</t>
  </si>
  <si>
    <t>Time to maturity</t>
  </si>
  <si>
    <t>N(-d_2)</t>
  </si>
  <si>
    <t>Risk-neutral probability of default</t>
  </si>
  <si>
    <t>Market value of the firm's assets</t>
  </si>
  <si>
    <t>σ</t>
  </si>
  <si>
    <t>The model was applied to ABC Corporation after the company was internally classified as investment-grade through the discriminant credit scoring framework developed in Credit Scoring Analysis.
Using the firm's estimated asset value, debt level and asset volatility, the model generated a relatively low risk-neutral probability of default over the two-year loan horizon. The results are consistent with the company's stronger balance sheet indicators, lower leverage profile and higher discriminant Z-score compared to XYZ.
The analysis therefore supports the decision to approve the loan to ABC, confirming that the firm presents a substantially lower level of structural credit risk under stressed market conditions.</t>
  </si>
  <si>
    <t>Comparable Bond Analysis and Market-Based Loan Pricing</t>
  </si>
  <si>
    <t>Since ABC does not have publicly traded bonds outstanding, the loan spread was estimated using a comparable corporate bond issued by a company operating in the same sector and with similar credit characteristics.</t>
  </si>
  <si>
    <t>Comparable Company Selection</t>
  </si>
  <si>
    <t>Starbucks Corporation was selected as the benchmark issuer based on the following considerations:</t>
  </si>
  <si>
    <t>operates in the consumer/service sector, similarly to ABC;</t>
  </si>
  <si>
    <t>maintains significant exposure to consumer demand and retail activity;</t>
  </si>
  <si>
    <t>holds an investment-grade credit profile consistent with ABC’s internal rating assessment;</t>
  </si>
  <si>
    <t>has actively traded bonds with reliable secondary market pricing data.</t>
  </si>
  <si>
    <t>The selected instrument was the Starbucks Corporation 3.80% bond maturing on August 15, 2025 (ISIN: US855244AQ29).</t>
  </si>
  <si>
    <t>Market Data (FactSet – May 20, 2025)</t>
  </si>
  <si>
    <t>Metric</t>
  </si>
  <si>
    <t>Coupon Rate</t>
  </si>
  <si>
    <t>Bond Price</t>
  </si>
  <si>
    <t>Yield to Maturity (YTM)</t>
  </si>
  <si>
    <t>Spread to Treasury</t>
  </si>
  <si>
    <t>Credit Rating</t>
  </si>
  <si>
    <t>BBB+</t>
  </si>
  <si>
    <t>Maturity Date</t>
  </si>
  <si>
    <t>August 15, 2025</t>
  </si>
  <si>
    <t>Loan Pricing Framework</t>
  </si>
  <si>
    <t>A 2-year U.S. Treasury yield of 4.00% was used as the risk-free benchmark.</t>
  </si>
  <si>
    <t>Given the similarity between ABC’s risk profile and the selected comparable bond, the observed market spread was used to estimate the appropriate pricing for the proposed USD 100 million bullet loan.</t>
  </si>
  <si>
    <t>Loan Rate = 4.00% + 0.662% = 4.662%</t>
  </si>
  <si>
    <t>Implied Loan Repayment</t>
  </si>
  <si>
    <t>Assuming annual compounding over a 2-year maturity:</t>
  </si>
  <si>
    <t>100 × (1 + 0.04662)^2</t>
  </si>
  <si>
    <t>= USD 109.54 million</t>
  </si>
  <si>
    <t>Loan Principal</t>
  </si>
  <si>
    <t>USD 100.00M</t>
  </si>
  <si>
    <t>Implied Repayment at Maturity</t>
  </si>
  <si>
    <t>USD 109.54M</t>
  </si>
  <si>
    <t>Total Interest Cost</t>
  </si>
  <si>
    <t>USD 9.54M</t>
  </si>
  <si>
    <t>Conclusion</t>
  </si>
  <si>
    <t>Using a market-based comparable bond approach, the estimated fair lending rate for ABC is 4.662%, corresponding to a credit spread of 66.2 basis points above the U.S. Treasury curve.</t>
  </si>
  <si>
    <t>The analysis suggests that ABC can be financed at investment-grade conditions, with a relatively limited spread reflecting its stronger balance sheet profile and lower estimated default risk compared to distressed firms.</t>
  </si>
  <si>
    <t>66,2 bps</t>
  </si>
  <si>
    <t>Comparative Analysis of Credit Risk Methodologies</t>
  </si>
  <si>
    <t>Three different methodologies were applied to assess ABC’s credit risk profile and determine an appropriate interest rate for the proposed 2-year USD 100 million loan facility:</t>
  </si>
  <si>
    <t>historical default statistics from S&amp;P Global Ratings;</t>
  </si>
  <si>
    <t>the Merton (1973) structural credit risk model;</t>
  </si>
  <si>
    <t>a market-based approach using corporate bond spreads from a comparable issuer.</t>
  </si>
  <si>
    <t>Rating-Based Approach (S&amp;P Global Data)</t>
  </si>
  <si>
    <t>Using S&amp;P Global cumulative default statistics, the estimated probability of default (PD) for an internally A-rated borrower was:</t>
  </si>
  <si>
    <t>1-Year PD: 0.05%</t>
  </si>
  <si>
    <t>2-Year PD: 0.11%</t>
  </si>
  <si>
    <t>This methodology is transparent and grounded in long-term historical default experience across rating categories. It provides a stable benchmark for credit assessment, although it remains backward-looking and does not fully capture firm-specific market dynamics or changes in capital structure.</t>
  </si>
  <si>
    <t>The Merton (1973) framework models corporate equity as a call option on firm assets and defines default as the event where the firm’s asset value falls below debt obligations at maturity.</t>
  </si>
  <si>
    <t>Using ABC’s estimated asset value, debt level, asset volatility, risk-free rate, and a 2-year maturity horizon, the following metrics were obtained:</t>
  </si>
  <si>
    <t>d1 = 2.235</t>
  </si>
  <si>
    <t>d2 = 1.923</t>
  </si>
  <si>
    <t>Risk-Neutral Probability of Default = 2.72%</t>
  </si>
  <si>
    <t>The structural approach is theoretically robust and forward-looking because it incorporates leverage dynamics and market-implied risk measures. However, the model remains highly sensitive to volatility assumptions and estimated asset values, which can materially affect the resulting probability of default.</t>
  </si>
  <si>
    <t>Market-Based Comparable Bond Approach</t>
  </si>
  <si>
    <t>Since ABC does not have publicly traded bonds outstanding, Starbucks Corporation was selected as a comparable issuer operating in the same consumer/service sector and maintaining an investment-grade credit profile.</t>
  </si>
  <si>
    <t>Using secondary market bond data, the following market-implied metrics were observed:</t>
  </si>
  <si>
    <t>Yield to Maturity (YTM): 4.634%</t>
  </si>
  <si>
    <t>Credit Spread: 66.2 basis points above the 2-year U.S. Treasury yield</t>
  </si>
  <si>
    <t>This approach reflects real-time investor expectations and observable market pricing of credit risk. While highly practical and market-oriented, the methodology depends on the quality of the comparable issuer selection and prevailing market conditions.</t>
  </si>
  <si>
    <t>Final Assessment</t>
  </si>
  <si>
    <t>Each methodology provides a different perspective on ABC’s credit quality:</t>
  </si>
  <si>
    <t>the rating-based approach offers long-term historical consistency;</t>
  </si>
  <si>
    <t>the Merton model provides a structural and forward-looking estimate of default risk;</t>
  </si>
  <si>
    <t>the market-based approach reflects current investor sentiment and observable pricing conditions.</t>
  </si>
  <si>
    <t>Given the consistency between ABC’s internal rating profile and the observed market spread of the comparable issuer, the market-based framework was considered the most appropriate methodology for pricing the proposed loan facility.</t>
  </si>
  <si>
    <t>The recommended lending rate for the 2-year USD 100 million bullet loan is therefore estimated at approximately 4.66%.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</si>
</sst>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00%"/>
    <numFmt numFmtId="166" formatCode="#,##0.000"/>
  </numFmts>
  <fonts count="17" x14ac:knownFonts="1">
    <font>
      <sz val="12"/>
      <color theme="1"/>
      <name val="Microsoft YaHei"/>
      <family val="2"/>
    </font>
    <font>
      <sz val="12"/>
      <color theme="1"/>
      <name val="Microsoft YaHei"/>
      <family val="2"/>
    </font>
    <font>
      <b/>
      <sz val="12"/>
      <color theme="1"/>
      <name val="Microsoft YaHei"/>
      <family val="2"/>
    </font>
    <font>
      <b/>
      <sz val="12"/>
      <color theme="1"/>
      <name val="Microsoft YaHei"/>
      <family val="2"/>
      <charset val="134"/>
    </font>
    <font>
      <sz val="8"/>
      <name val="Microsoft YaHei"/>
      <family val="2"/>
    </font>
    <font>
      <sz val="12"/>
      <color theme="9"/>
      <name val="Microsoft YaHei"/>
      <family val="2"/>
    </font>
    <font>
      <sz val="12"/>
      <color theme="5"/>
      <name val="Microsoft YaHei"/>
      <family val="2"/>
    </font>
    <font>
      <b/>
      <sz val="12"/>
      <color rgb="FF131314"/>
      <name val="Arial"/>
      <family val="2"/>
    </font>
    <font>
      <b/>
      <sz val="20"/>
      <color theme="1"/>
      <name val="Microsoft YaHei"/>
      <family val="2"/>
      <charset val="134"/>
    </font>
    <font>
      <b/>
      <sz val="16"/>
      <color rgb="FF002060"/>
      <name val="Microsoft YaHei"/>
      <family val="2"/>
      <charset val="134"/>
    </font>
    <font>
      <sz val="11"/>
      <color rgb="FF006CBE"/>
      <name val="Consolas"/>
      <family val="2"/>
    </font>
    <font>
      <b/>
      <sz val="16"/>
      <color rgb="FF000000"/>
      <name val="Microsoft YaHei UI"/>
      <family val="2"/>
      <charset val="134"/>
    </font>
    <font>
      <sz val="12"/>
      <color theme="1"/>
      <name val="Microsoft YaHei"/>
      <family val="2"/>
      <charset val="134"/>
    </font>
    <font>
      <b/>
      <sz val="14"/>
      <color rgb="FF131314"/>
      <name val="Microsoft YaHei UI"/>
      <family val="2"/>
      <charset val="134"/>
    </font>
    <font>
      <b/>
      <sz val="16"/>
      <color theme="1"/>
      <name val="Microsoft YaHei"/>
      <family val="2"/>
      <charset val="134"/>
    </font>
    <font>
      <b/>
      <sz val="24"/>
      <color theme="1"/>
      <name val="Microsoft YaHei"/>
      <family val="2"/>
    </font>
    <font>
      <b/>
      <sz val="18"/>
      <color theme="1"/>
      <name val="Microsoft YaHei"/>
      <family val="2"/>
    </font>
  </fonts>
  <fills count="6">
    <fill>
      <patternFill patternType="none"/>
    </fill>
    <fill>
      <patternFill patternType="gray125"/>
    </fill>
    <fill>
      <patternFill patternType="solid">
        <fgColor theme="5"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tint="-0.14999847407452621"/>
        <bgColor indexed="64"/>
      </patternFill>
    </fill>
  </fills>
  <borders count="46">
    <border>
      <left/>
      <right/>
      <top/>
      <bottom/>
      <diagonal/>
    </border>
    <border>
      <left/>
      <right/>
      <top/>
      <bottom style="thin">
        <color auto="1"/>
      </bottom>
      <diagonal/>
    </border>
    <border>
      <left/>
      <right/>
      <top style="thin">
        <color indexed="64"/>
      </top>
      <bottom style="medium">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0" tint="-0.249977111117893"/>
      </right>
      <top style="thin">
        <color indexed="64"/>
      </top>
      <bottom/>
      <diagonal/>
    </border>
    <border>
      <left/>
      <right/>
      <top style="thin">
        <color indexed="64"/>
      </top>
      <bottom/>
      <diagonal/>
    </border>
    <border>
      <left/>
      <right style="thin">
        <color theme="0" tint="-0.249977111117893"/>
      </right>
      <top style="thin">
        <color theme="0" tint="-0.249977111117893"/>
      </top>
      <bottom/>
      <diagonal/>
    </border>
    <border>
      <left/>
      <right style="thin">
        <color theme="0" tint="-0.249977111117893"/>
      </right>
      <top/>
      <bottom/>
      <diagonal/>
    </border>
    <border>
      <left style="thin">
        <color indexed="64"/>
      </left>
      <right style="thin">
        <color theme="0" tint="-0.249977111117893"/>
      </right>
      <top style="thin">
        <color indexed="64"/>
      </top>
      <bottom style="thin">
        <color theme="0" tint="-0.249977111117893"/>
      </bottom>
      <diagonal/>
    </border>
    <border>
      <left style="thin">
        <color theme="0" tint="-0.249977111117893"/>
      </left>
      <right style="thin">
        <color theme="0" tint="-0.249977111117893"/>
      </right>
      <top style="thin">
        <color indexed="64"/>
      </top>
      <bottom style="thin">
        <color theme="0" tint="-0.249977111117893"/>
      </bottom>
      <diagonal/>
    </border>
    <border>
      <left style="thin">
        <color theme="0" tint="-0.249977111117893"/>
      </left>
      <right style="thin">
        <color indexed="64"/>
      </right>
      <top style="thin">
        <color indexed="64"/>
      </top>
      <bottom style="thin">
        <color theme="0" tint="-0.249977111117893"/>
      </bottom>
      <diagonal/>
    </border>
    <border>
      <left style="thin">
        <color indexed="64"/>
      </left>
      <right style="thin">
        <color theme="0" tint="-0.249977111117893"/>
      </right>
      <top style="thin">
        <color theme="0" tint="-0.249977111117893"/>
      </top>
      <bottom style="thin">
        <color theme="0" tint="-0.249977111117893"/>
      </bottom>
      <diagonal/>
    </border>
    <border>
      <left style="thin">
        <color theme="0" tint="-0.249977111117893"/>
      </left>
      <right style="thin">
        <color indexed="64"/>
      </right>
      <top style="thin">
        <color theme="0" tint="-0.249977111117893"/>
      </top>
      <bottom style="thin">
        <color theme="0" tint="-0.249977111117893"/>
      </bottom>
      <diagonal/>
    </border>
    <border>
      <left style="thin">
        <color indexed="64"/>
      </left>
      <right style="thin">
        <color theme="0" tint="-0.249977111117893"/>
      </right>
      <top style="thin">
        <color theme="0" tint="-0.249977111117893"/>
      </top>
      <bottom style="thin">
        <color indexed="64"/>
      </bottom>
      <diagonal/>
    </border>
    <border>
      <left style="thin">
        <color theme="0" tint="-0.249977111117893"/>
      </left>
      <right style="thin">
        <color theme="0" tint="-0.249977111117893"/>
      </right>
      <top style="thin">
        <color theme="0" tint="-0.249977111117893"/>
      </top>
      <bottom style="thin">
        <color indexed="64"/>
      </bottom>
      <diagonal/>
    </border>
    <border>
      <left style="thin">
        <color theme="0" tint="-0.249977111117893"/>
      </left>
      <right style="thin">
        <color indexed="64"/>
      </right>
      <top style="thin">
        <color theme="0" tint="-0.249977111117893"/>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theme="0" tint="-0.249977111117893"/>
      </right>
      <top/>
      <bottom style="thin">
        <color theme="0" tint="-0.249977111117893"/>
      </bottom>
      <diagonal/>
    </border>
    <border>
      <left style="thin">
        <color theme="0" tint="-0.249977111117893"/>
      </left>
      <right style="thin">
        <color indexed="64"/>
      </right>
      <top/>
      <bottom style="thin">
        <color theme="0" tint="-0.249977111117893"/>
      </bottom>
      <diagonal/>
    </border>
    <border>
      <left style="thin">
        <color indexed="64"/>
      </left>
      <right style="thin">
        <color theme="0" tint="-0.249977111117893"/>
      </right>
      <top style="thin">
        <color indexed="64"/>
      </top>
      <bottom style="thin">
        <color indexed="64"/>
      </bottom>
      <diagonal/>
    </border>
    <border>
      <left style="thin">
        <color theme="0" tint="-0.249977111117893"/>
      </left>
      <right style="thin">
        <color theme="0" tint="-0.249977111117893"/>
      </right>
      <top style="thin">
        <color indexed="64"/>
      </top>
      <bottom style="thin">
        <color indexed="64"/>
      </bottom>
      <diagonal/>
    </border>
    <border>
      <left style="thin">
        <color theme="0" tint="-0.249977111117893"/>
      </left>
      <right style="thin">
        <color indexed="64"/>
      </right>
      <top style="thin">
        <color indexed="64"/>
      </top>
      <bottom style="thin">
        <color indexed="64"/>
      </bottom>
      <diagonal/>
    </border>
    <border>
      <left style="thin">
        <color theme="0" tint="-0.249977111117893"/>
      </left>
      <right style="thin">
        <color theme="0" tint="-0.249977111117893"/>
      </right>
      <top/>
      <bottom style="thin">
        <color indexed="64"/>
      </bottom>
      <diagonal/>
    </border>
    <border>
      <left/>
      <right style="thin">
        <color theme="0" tint="-0.249977111117893"/>
      </right>
      <top style="thin">
        <color indexed="64"/>
      </top>
      <bottom style="thin">
        <color indexed="64"/>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bottom style="thin">
        <color theme="0" tint="-0.249977111117893"/>
      </bottom>
      <diagonal/>
    </border>
    <border>
      <left/>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161">
    <xf numFmtId="0" fontId="0" fillId="0" borderId="0" xfId="0"/>
    <xf numFmtId="2" fontId="0" fillId="0" borderId="0" xfId="0" applyNumberFormat="1" applyAlignment="1">
      <alignment horizontal="center"/>
    </xf>
    <xf numFmtId="0" fontId="3" fillId="0" borderId="2" xfId="0" applyFont="1" applyBorder="1"/>
    <xf numFmtId="0" fontId="3" fillId="0" borderId="2" xfId="0" applyFont="1" applyBorder="1" applyAlignment="1">
      <alignment horizontal="center" vertical="center"/>
    </xf>
    <xf numFmtId="0" fontId="0" fillId="0" borderId="0" xfId="0" applyAlignment="1">
      <alignment horizontal="center"/>
    </xf>
    <xf numFmtId="0" fontId="0" fillId="0" borderId="1" xfId="0" applyBorder="1"/>
    <xf numFmtId="2" fontId="0" fillId="0" borderId="0" xfId="0" applyNumberFormat="1"/>
    <xf numFmtId="2" fontId="0" fillId="0" borderId="1" xfId="0" applyNumberFormat="1" applyBorder="1" applyAlignment="1">
      <alignment horizontal="center"/>
    </xf>
    <xf numFmtId="2" fontId="0" fillId="0" borderId="1" xfId="0" applyNumberFormat="1" applyBorder="1"/>
    <xf numFmtId="2" fontId="5" fillId="0" borderId="3" xfId="0" applyNumberFormat="1" applyFont="1" applyBorder="1"/>
    <xf numFmtId="2" fontId="6" fillId="0" borderId="3" xfId="0" applyNumberFormat="1" applyFont="1" applyBorder="1"/>
    <xf numFmtId="0" fontId="0" fillId="0" borderId="5" xfId="0" applyBorder="1"/>
    <xf numFmtId="0" fontId="0" fillId="0" borderId="8" xfId="0" applyBorder="1"/>
    <xf numFmtId="0" fontId="11" fillId="0" borderId="0" xfId="0" applyFont="1"/>
    <xf numFmtId="0" fontId="0" fillId="0" borderId="1" xfId="0" applyBorder="1" applyAlignment="1">
      <alignment horizontal="center"/>
    </xf>
    <xf numFmtId="0" fontId="2" fillId="0" borderId="0" xfId="0" applyFont="1"/>
    <xf numFmtId="0" fontId="8" fillId="0" borderId="0" xfId="0" applyFont="1"/>
    <xf numFmtId="0" fontId="3" fillId="0" borderId="0" xfId="0" applyFont="1"/>
    <xf numFmtId="0" fontId="3" fillId="0" borderId="0" xfId="0" applyFont="1" applyAlignment="1">
      <alignment horizontal="center"/>
    </xf>
    <xf numFmtId="0" fontId="9" fillId="0" borderId="0" xfId="0" applyFont="1"/>
    <xf numFmtId="0" fontId="2" fillId="5" borderId="8" xfId="0" applyFont="1" applyFill="1" applyBorder="1"/>
    <xf numFmtId="3" fontId="0" fillId="0" borderId="0" xfId="0" applyNumberFormat="1"/>
    <xf numFmtId="9" fontId="0" fillId="0" borderId="0" xfId="0" applyNumberFormat="1"/>
    <xf numFmtId="0" fontId="3" fillId="0" borderId="0" xfId="0" applyFont="1" applyAlignment="1">
      <alignment horizontal="left" vertical="center"/>
    </xf>
    <xf numFmtId="0" fontId="3" fillId="4" borderId="2" xfId="0" applyFont="1" applyFill="1" applyBorder="1" applyAlignment="1">
      <alignment horizontal="center" vertical="center"/>
    </xf>
    <xf numFmtId="164" fontId="0" fillId="0" borderId="3" xfId="0" applyNumberFormat="1" applyBorder="1"/>
    <xf numFmtId="0" fontId="0" fillId="0" borderId="15" xfId="0" applyBorder="1"/>
    <xf numFmtId="0" fontId="0" fillId="0" borderId="0" xfId="0" applyAlignment="1">
      <alignment horizontal="center" vertical="center"/>
    </xf>
    <xf numFmtId="0" fontId="0" fillId="0" borderId="19" xfId="0" applyBorder="1"/>
    <xf numFmtId="0" fontId="0" fillId="0" borderId="21" xfId="0" applyBorder="1"/>
    <xf numFmtId="0" fontId="0" fillId="0" borderId="16" xfId="0" applyBorder="1"/>
    <xf numFmtId="0" fontId="0" fillId="5" borderId="8" xfId="0" applyFill="1" applyBorder="1"/>
    <xf numFmtId="0" fontId="5" fillId="0" borderId="6" xfId="0" applyFont="1" applyBorder="1" applyAlignment="1">
      <alignment horizontal="left" indent="4"/>
    </xf>
    <xf numFmtId="0" fontId="6" fillId="0" borderId="6" xfId="0" applyFont="1" applyBorder="1" applyAlignment="1">
      <alignment horizontal="left" indent="4"/>
    </xf>
    <xf numFmtId="0" fontId="0" fillId="0" borderId="6" xfId="0" applyBorder="1" applyAlignment="1">
      <alignment horizontal="left" indent="4"/>
    </xf>
    <xf numFmtId="0" fontId="3" fillId="4" borderId="12" xfId="0" applyFont="1" applyFill="1" applyBorder="1" applyAlignment="1">
      <alignment horizontal="center" vertical="center" wrapText="1"/>
    </xf>
    <xf numFmtId="164" fontId="0" fillId="0" borderId="8" xfId="0" applyNumberFormat="1" applyBorder="1"/>
    <xf numFmtId="0" fontId="0" fillId="3" borderId="19" xfId="0" applyFill="1" applyBorder="1" applyAlignment="1">
      <alignment horizontal="center"/>
    </xf>
    <xf numFmtId="0" fontId="0" fillId="0" borderId="20" xfId="0" applyBorder="1" applyAlignment="1">
      <alignment horizontal="center"/>
    </xf>
    <xf numFmtId="0" fontId="0" fillId="0" borderId="23" xfId="0" applyBorder="1" applyAlignment="1">
      <alignment horizontal="center"/>
    </xf>
    <xf numFmtId="0" fontId="0" fillId="0" borderId="29" xfId="0" applyBorder="1"/>
    <xf numFmtId="0" fontId="0" fillId="0" borderId="30" xfId="0" applyBorder="1"/>
    <xf numFmtId="0" fontId="0" fillId="0" borderId="31" xfId="0" applyBorder="1"/>
    <xf numFmtId="0" fontId="0" fillId="0" borderId="32" xfId="0" applyBorder="1"/>
    <xf numFmtId="0" fontId="0" fillId="3" borderId="33" xfId="0" applyFill="1" applyBorder="1" applyAlignment="1">
      <alignment horizontal="center"/>
    </xf>
    <xf numFmtId="0" fontId="0" fillId="0" borderId="34" xfId="0" applyBorder="1" applyAlignment="1">
      <alignment horizontal="center"/>
    </xf>
    <xf numFmtId="0" fontId="3" fillId="0" borderId="35" xfId="0" applyFont="1" applyBorder="1" applyAlignment="1">
      <alignment horizontal="center" vertical="center"/>
    </xf>
    <xf numFmtId="0" fontId="3" fillId="0" borderId="36" xfId="0" applyFont="1" applyBorder="1" applyAlignment="1">
      <alignment horizontal="center" vertical="center"/>
    </xf>
    <xf numFmtId="0" fontId="0" fillId="0" borderId="30" xfId="0" applyBorder="1" applyAlignment="1">
      <alignment horizontal="center"/>
    </xf>
    <xf numFmtId="0" fontId="0" fillId="0" borderId="32" xfId="0" applyBorder="1" applyAlignment="1">
      <alignment horizontal="center"/>
    </xf>
    <xf numFmtId="0" fontId="0" fillId="0" borderId="29" xfId="0" applyBorder="1" applyAlignment="1">
      <alignment horizontal="center" vertical="center"/>
    </xf>
    <xf numFmtId="0" fontId="0" fillId="0" borderId="31" xfId="0" applyBorder="1" applyAlignment="1">
      <alignment horizontal="center" vertical="center"/>
    </xf>
    <xf numFmtId="0" fontId="0" fillId="0" borderId="1" xfId="0" applyBorder="1" applyAlignment="1">
      <alignment horizontal="center" vertical="center"/>
    </xf>
    <xf numFmtId="0" fontId="0" fillId="0" borderId="30" xfId="0" applyBorder="1" applyAlignment="1">
      <alignment horizontal="left" vertical="center"/>
    </xf>
    <xf numFmtId="0" fontId="0" fillId="0" borderId="1" xfId="0" applyBorder="1" applyAlignment="1">
      <alignment horizontal="left" vertical="center"/>
    </xf>
    <xf numFmtId="0" fontId="0" fillId="0" borderId="32" xfId="0" applyBorder="1" applyAlignment="1">
      <alignment horizontal="left" vertical="center"/>
    </xf>
    <xf numFmtId="0" fontId="3" fillId="0" borderId="24" xfId="0" applyFont="1" applyBorder="1" applyAlignment="1">
      <alignment horizontal="center" vertical="center"/>
    </xf>
    <xf numFmtId="0" fontId="3" fillId="0" borderId="25" xfId="0" applyFont="1" applyBorder="1" applyAlignment="1">
      <alignment horizontal="left" vertical="center"/>
    </xf>
    <xf numFmtId="0" fontId="3" fillId="0" borderId="25" xfId="0" applyFont="1" applyBorder="1" applyAlignment="1">
      <alignment horizontal="center" vertical="center"/>
    </xf>
    <xf numFmtId="0" fontId="3" fillId="0" borderId="26" xfId="0" applyFont="1" applyBorder="1" applyAlignment="1">
      <alignment horizontal="left" vertical="center"/>
    </xf>
    <xf numFmtId="0" fontId="0" fillId="3" borderId="21" xfId="0" applyFill="1" applyBorder="1" applyAlignment="1">
      <alignment horizontal="center"/>
    </xf>
    <xf numFmtId="164" fontId="0" fillId="3" borderId="5" xfId="0" applyNumberFormat="1" applyFill="1" applyBorder="1"/>
    <xf numFmtId="164" fontId="0" fillId="3" borderId="3" xfId="0" applyNumberFormat="1" applyFill="1" applyBorder="1"/>
    <xf numFmtId="164" fontId="0" fillId="2" borderId="3" xfId="0" applyNumberFormat="1" applyFill="1" applyBorder="1"/>
    <xf numFmtId="164" fontId="0" fillId="2" borderId="22" xfId="0" applyNumberFormat="1" applyFill="1" applyBorder="1"/>
    <xf numFmtId="164" fontId="0" fillId="0" borderId="20" xfId="0" applyNumberFormat="1" applyBorder="1"/>
    <xf numFmtId="164" fontId="0" fillId="0" borderId="23" xfId="0" applyNumberFormat="1" applyBorder="1"/>
    <xf numFmtId="0" fontId="3" fillId="0" borderId="37" xfId="0" applyFont="1" applyBorder="1"/>
    <xf numFmtId="0" fontId="0" fillId="3" borderId="16" xfId="0" applyFill="1" applyBorder="1" applyAlignment="1">
      <alignment horizontal="center"/>
    </xf>
    <xf numFmtId="164" fontId="0" fillId="3" borderId="17" xfId="0" applyNumberFormat="1" applyFill="1" applyBorder="1"/>
    <xf numFmtId="0" fontId="0" fillId="0" borderId="18" xfId="0" applyBorder="1" applyAlignment="1">
      <alignment horizontal="center"/>
    </xf>
    <xf numFmtId="164" fontId="0" fillId="3" borderId="38" xfId="0" applyNumberFormat="1" applyFill="1" applyBorder="1"/>
    <xf numFmtId="0" fontId="15" fillId="0" borderId="0" xfId="0" applyFont="1"/>
    <xf numFmtId="164" fontId="0" fillId="0" borderId="18" xfId="0" applyNumberFormat="1" applyBorder="1"/>
    <xf numFmtId="165" fontId="0" fillId="0" borderId="37" xfId="1" applyNumberFormat="1" applyFont="1" applyBorder="1"/>
    <xf numFmtId="0" fontId="13" fillId="5" borderId="2" xfId="0" applyFont="1" applyFill="1" applyBorder="1"/>
    <xf numFmtId="0" fontId="2" fillId="0" borderId="24" xfId="0" applyFont="1" applyBorder="1"/>
    <xf numFmtId="0" fontId="2" fillId="0" borderId="26" xfId="0" applyFont="1" applyBorder="1"/>
    <xf numFmtId="166" fontId="0" fillId="0" borderId="0" xfId="0" applyNumberFormat="1"/>
    <xf numFmtId="0" fontId="0" fillId="0" borderId="0" xfId="0" applyAlignment="1">
      <alignment horizontal="right"/>
    </xf>
    <xf numFmtId="0" fontId="3" fillId="0" borderId="0" xfId="0" applyFont="1" applyAlignment="1">
      <alignment vertical="center"/>
    </xf>
    <xf numFmtId="0" fontId="0" fillId="0" borderId="29" xfId="0" applyBorder="1" applyAlignment="1">
      <alignment horizontal="left"/>
    </xf>
    <xf numFmtId="0" fontId="0" fillId="0" borderId="31" xfId="0" applyBorder="1" applyAlignment="1">
      <alignment horizontal="left"/>
    </xf>
    <xf numFmtId="0" fontId="2" fillId="0" borderId="24" xfId="0" applyFont="1" applyBorder="1" applyAlignment="1">
      <alignment horizontal="left" vertical="center"/>
    </xf>
    <xf numFmtId="0" fontId="2" fillId="0" borderId="26" xfId="0" applyFont="1" applyBorder="1" applyAlignment="1">
      <alignment horizontal="left" vertical="center" wrapText="1"/>
    </xf>
    <xf numFmtId="3" fontId="0" fillId="0" borderId="30" xfId="0" applyNumberFormat="1" applyBorder="1" applyAlignment="1">
      <alignment horizontal="center"/>
    </xf>
    <xf numFmtId="164" fontId="0" fillId="0" borderId="30" xfId="0" applyNumberFormat="1" applyBorder="1" applyAlignment="1">
      <alignment horizontal="center"/>
    </xf>
    <xf numFmtId="10" fontId="0" fillId="0" borderId="30" xfId="1" applyNumberFormat="1" applyFont="1" applyBorder="1" applyAlignment="1">
      <alignment horizontal="center"/>
    </xf>
    <xf numFmtId="0" fontId="16" fillId="0" borderId="0" xfId="0" applyFont="1"/>
    <xf numFmtId="10" fontId="0" fillId="0" borderId="0" xfId="0" applyNumberFormat="1"/>
    <xf numFmtId="165" fontId="0" fillId="0" borderId="0" xfId="0" applyNumberFormat="1"/>
    <xf numFmtId="0" fontId="0" fillId="0" borderId="0" xfId="0" applyAlignment="1">
      <alignment wrapText="1"/>
    </xf>
    <xf numFmtId="0" fontId="0" fillId="0" borderId="0" xfId="0" applyAlignment="1">
      <alignment vertical="center"/>
    </xf>
    <xf numFmtId="0" fontId="0" fillId="0" borderId="0" xfId="0" applyAlignment="1">
      <alignment horizontal="right" wrapText="1"/>
    </xf>
    <xf numFmtId="0" fontId="0" fillId="0" borderId="27" xfId="0" applyBorder="1" applyAlignment="1">
      <alignment horizontal="left" vertical="top" wrapText="1"/>
    </xf>
    <xf numFmtId="0" fontId="0" fillId="0" borderId="13" xfId="0" applyBorder="1" applyAlignment="1">
      <alignment horizontal="left" vertical="top" wrapText="1"/>
    </xf>
    <xf numFmtId="0" fontId="0" fillId="0" borderId="28" xfId="0" applyBorder="1" applyAlignment="1">
      <alignment horizontal="left" vertical="top" wrapText="1"/>
    </xf>
    <xf numFmtId="0" fontId="0" fillId="0" borderId="29" xfId="0" applyBorder="1" applyAlignment="1">
      <alignment horizontal="left" vertical="top" wrapText="1"/>
    </xf>
    <xf numFmtId="0" fontId="0" fillId="0" borderId="0" xfId="0" applyAlignment="1">
      <alignment horizontal="left" vertical="top" wrapText="1"/>
    </xf>
    <xf numFmtId="0" fontId="0" fillId="0" borderId="30" xfId="0" applyBorder="1" applyAlignment="1">
      <alignment horizontal="left" vertical="top" wrapText="1"/>
    </xf>
    <xf numFmtId="0" fontId="0" fillId="0" borderId="31" xfId="0" applyBorder="1" applyAlignment="1">
      <alignment horizontal="left" vertical="top" wrapText="1"/>
    </xf>
    <xf numFmtId="0" fontId="0" fillId="0" borderId="1" xfId="0" applyBorder="1" applyAlignment="1">
      <alignment horizontal="left" vertical="top" wrapText="1"/>
    </xf>
    <xf numFmtId="0" fontId="0" fillId="0" borderId="32" xfId="0" applyBorder="1" applyAlignment="1">
      <alignment horizontal="left" vertical="top" wrapText="1"/>
    </xf>
    <xf numFmtId="0" fontId="13" fillId="5" borderId="2" xfId="0" applyFont="1" applyFill="1" applyBorder="1" applyAlignment="1">
      <alignment horizontal="left"/>
    </xf>
    <xf numFmtId="0" fontId="3" fillId="0" borderId="24" xfId="0" applyFont="1" applyBorder="1" applyAlignment="1">
      <alignment horizontal="left" vertical="center"/>
    </xf>
    <xf numFmtId="0" fontId="3" fillId="0" borderId="39" xfId="0" applyFont="1" applyBorder="1" applyAlignment="1">
      <alignment horizontal="left" vertical="center"/>
    </xf>
    <xf numFmtId="0" fontId="0" fillId="0" borderId="1" xfId="0" applyBorder="1" applyAlignment="1">
      <alignment horizontal="center"/>
    </xf>
    <xf numFmtId="0" fontId="14" fillId="0" borderId="9" xfId="0" applyFont="1" applyBorder="1" applyAlignment="1">
      <alignment horizontal="center"/>
    </xf>
    <xf numFmtId="0" fontId="14" fillId="0" borderId="10" xfId="0" applyFont="1" applyBorder="1" applyAlignment="1">
      <alignment horizontal="center"/>
    </xf>
    <xf numFmtId="0" fontId="14" fillId="0" borderId="11" xfId="0" applyFont="1" applyBorder="1" applyAlignment="1">
      <alignment horizontal="center"/>
    </xf>
    <xf numFmtId="0" fontId="0" fillId="0" borderId="0" xfId="0" applyAlignment="1">
      <alignment horizontal="left" vertical="center" wrapText="1"/>
    </xf>
    <xf numFmtId="0" fontId="3" fillId="0" borderId="0" xfId="0" applyFont="1" applyAlignment="1">
      <alignment horizontal="left" vertical="center"/>
    </xf>
    <xf numFmtId="0" fontId="12" fillId="0" borderId="0" xfId="0" applyFont="1" applyAlignment="1">
      <alignment horizontal="left" vertical="center"/>
    </xf>
    <xf numFmtId="0" fontId="0" fillId="0" borderId="0" xfId="0" applyAlignment="1">
      <alignment horizontal="left" vertical="center"/>
    </xf>
    <xf numFmtId="0" fontId="0" fillId="0" borderId="0" xfId="0" applyAlignment="1">
      <alignment horizontal="left" vertical="top"/>
    </xf>
    <xf numFmtId="0" fontId="0" fillId="0" borderId="0" xfId="0" applyBorder="1"/>
    <xf numFmtId="0" fontId="9" fillId="0" borderId="0" xfId="0" applyFont="1" applyBorder="1"/>
    <xf numFmtId="10" fontId="0" fillId="0" borderId="0" xfId="0" applyNumberFormat="1" applyBorder="1"/>
    <xf numFmtId="10" fontId="10" fillId="0" borderId="0" xfId="0" applyNumberFormat="1" applyFont="1" applyBorder="1"/>
    <xf numFmtId="0" fontId="0" fillId="0" borderId="41" xfId="0" applyBorder="1"/>
    <xf numFmtId="0" fontId="0" fillId="0" borderId="0" xfId="0" applyBorder="1" applyAlignment="1">
      <alignment horizontal="center" vertical="center"/>
    </xf>
    <xf numFmtId="0" fontId="0" fillId="0" borderId="42" xfId="0" applyBorder="1"/>
    <xf numFmtId="0" fontId="0" fillId="0" borderId="0" xfId="0" applyBorder="1" applyAlignment="1">
      <alignment horizontal="left" vertical="center"/>
    </xf>
    <xf numFmtId="3" fontId="0" fillId="0" borderId="0" xfId="0" applyNumberFormat="1" applyBorder="1"/>
    <xf numFmtId="164" fontId="0" fillId="0" borderId="7" xfId="0" applyNumberFormat="1" applyBorder="1"/>
    <xf numFmtId="164" fontId="0" fillId="0" borderId="40" xfId="0" applyNumberFormat="1" applyBorder="1"/>
    <xf numFmtId="2" fontId="5" fillId="0" borderId="7" xfId="0" applyNumberFormat="1" applyFont="1" applyBorder="1"/>
    <xf numFmtId="2" fontId="6" fillId="0" borderId="7" xfId="0" applyNumberFormat="1" applyFont="1" applyBorder="1"/>
    <xf numFmtId="0" fontId="3" fillId="0" borderId="43" xfId="0" applyFont="1" applyBorder="1" applyAlignment="1">
      <alignment horizontal="center" vertical="center"/>
    </xf>
    <xf numFmtId="0" fontId="0" fillId="0" borderId="14" xfId="0" applyBorder="1" applyAlignment="1">
      <alignment horizontal="left" indent="4"/>
    </xf>
    <xf numFmtId="164" fontId="0" fillId="0" borderId="4" xfId="0" applyNumberFormat="1" applyBorder="1"/>
    <xf numFmtId="0" fontId="0" fillId="0" borderId="0" xfId="0" applyBorder="1" applyAlignment="1">
      <alignment horizontal="left" vertical="top" wrapText="1"/>
    </xf>
    <xf numFmtId="0" fontId="3" fillId="0" borderId="8" xfId="0" applyFont="1" applyBorder="1" applyAlignment="1">
      <alignment wrapText="1"/>
    </xf>
    <xf numFmtId="0" fontId="3" fillId="0" borderId="8" xfId="0" applyFont="1" applyBorder="1" applyAlignment="1">
      <alignment vertical="top" wrapText="1"/>
    </xf>
    <xf numFmtId="0" fontId="3" fillId="0" borderId="24" xfId="0" applyFont="1" applyBorder="1" applyAlignment="1">
      <alignment vertical="top" wrapText="1"/>
    </xf>
    <xf numFmtId="0" fontId="3" fillId="0" borderId="24" xfId="0" applyFont="1" applyBorder="1" applyAlignment="1">
      <alignment wrapText="1"/>
    </xf>
    <xf numFmtId="0" fontId="13" fillId="5" borderId="13" xfId="0" applyFont="1" applyFill="1" applyBorder="1" applyAlignment="1">
      <alignment horizontal="left"/>
    </xf>
    <xf numFmtId="0" fontId="3" fillId="0" borderId="8" xfId="0" applyFont="1" applyBorder="1"/>
    <xf numFmtId="0" fontId="7" fillId="0" borderId="45" xfId="0" applyFont="1" applyBorder="1"/>
    <xf numFmtId="0" fontId="3" fillId="0" borderId="45" xfId="0" applyFont="1" applyBorder="1"/>
    <xf numFmtId="0" fontId="3" fillId="0" borderId="8" xfId="0" applyFont="1" applyBorder="1" applyAlignment="1">
      <alignment horizontal="left"/>
    </xf>
    <xf numFmtId="164" fontId="0" fillId="0" borderId="44" xfId="0" applyNumberFormat="1" applyBorder="1"/>
    <xf numFmtId="164" fontId="0" fillId="0" borderId="45" xfId="0" applyNumberFormat="1" applyBorder="1"/>
    <xf numFmtId="164" fontId="0" fillId="0" borderId="26" xfId="0" applyNumberFormat="1" applyBorder="1"/>
    <xf numFmtId="0" fontId="2" fillId="0" borderId="8" xfId="0" applyFont="1" applyBorder="1" applyAlignment="1">
      <alignment horizontal="left"/>
    </xf>
    <xf numFmtId="0" fontId="3" fillId="0" borderId="26" xfId="0" applyFont="1" applyBorder="1" applyAlignment="1">
      <alignment horizontal="left"/>
    </xf>
    <xf numFmtId="0" fontId="0" fillId="0" borderId="26" xfId="0" applyBorder="1" applyAlignment="1">
      <alignment wrapText="1"/>
    </xf>
    <xf numFmtId="0" fontId="0" fillId="0" borderId="28" xfId="0" applyBorder="1" applyAlignment="1">
      <alignment vertical="top" wrapText="1"/>
    </xf>
    <xf numFmtId="0" fontId="0" fillId="0" borderId="25" xfId="0" applyBorder="1"/>
    <xf numFmtId="0" fontId="3" fillId="0" borderId="37" xfId="0" applyFont="1" applyBorder="1" applyAlignment="1">
      <alignment horizontal="center" vertical="center" wrapText="1"/>
    </xf>
    <xf numFmtId="0" fontId="2" fillId="0" borderId="31" xfId="0" applyFont="1" applyBorder="1"/>
    <xf numFmtId="0" fontId="2" fillId="0" borderId="32" xfId="0" applyFont="1" applyBorder="1"/>
    <xf numFmtId="0" fontId="8" fillId="0" borderId="0" xfId="0" applyFont="1" applyBorder="1"/>
    <xf numFmtId="0" fontId="12" fillId="0" borderId="0" xfId="0" applyFont="1" applyBorder="1" applyAlignment="1"/>
    <xf numFmtId="0" fontId="12" fillId="0" borderId="24" xfId="0" applyFont="1" applyBorder="1" applyAlignment="1">
      <alignment horizontal="left" vertical="center"/>
    </xf>
    <xf numFmtId="0" fontId="12" fillId="0" borderId="25" xfId="0" applyFont="1" applyBorder="1" applyAlignment="1">
      <alignment horizontal="left" vertical="center"/>
    </xf>
    <xf numFmtId="0" fontId="12" fillId="0" borderId="26" xfId="0" applyFont="1" applyBorder="1" applyAlignment="1">
      <alignment horizontal="left" vertical="center"/>
    </xf>
    <xf numFmtId="0" fontId="0" fillId="0" borderId="8" xfId="0" applyBorder="1" applyAlignment="1">
      <alignment horizontal="right"/>
    </xf>
    <xf numFmtId="3" fontId="0" fillId="0" borderId="8" xfId="0" applyNumberFormat="1" applyBorder="1" applyAlignment="1">
      <alignment horizontal="right"/>
    </xf>
    <xf numFmtId="9" fontId="0" fillId="0" borderId="8" xfId="0" applyNumberFormat="1" applyBorder="1" applyAlignment="1">
      <alignment horizontal="right"/>
    </xf>
    <xf numFmtId="0" fontId="0" fillId="0" borderId="8" xfId="0" applyBorder="1" applyAlignment="1">
      <alignment horizontal="center"/>
    </xf>
  </cellXfs>
  <cellStyles count="2">
    <cellStyle name="Normale" xfId="0" builtinId="0"/>
    <cellStyle name="Percentuale" xfId="1" builtinId="5"/>
  </cellStyles>
  <dxfs count="0"/>
  <tableStyles count="0" defaultTableStyle="TableStyleMedium2" defaultPivotStyle="PivotStyleLight16"/>
  <colors>
    <mruColors>
      <color rgb="FFE979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11</xdr:row>
      <xdr:rowOff>0</xdr:rowOff>
    </xdr:from>
    <xdr:to>
      <xdr:col>10</xdr:col>
      <xdr:colOff>886851</xdr:colOff>
      <xdr:row>33</xdr:row>
      <xdr:rowOff>3819</xdr:rowOff>
    </xdr:to>
    <xdr:pic>
      <xdr:nvPicPr>
        <xdr:cNvPr id="2" name="Immagine 1">
          <a:extLst>
            <a:ext uri="{FF2B5EF4-FFF2-40B4-BE49-F238E27FC236}">
              <a16:creationId xmlns:a16="http://schemas.microsoft.com/office/drawing/2014/main" id="{05A4196A-D836-EB46-867C-91B387392D28}"/>
            </a:ext>
            <a:ext uri="{147F2762-F138-4A5C-976F-8EAC2B608ADB}">
              <a16:predDERef xmlns:a16="http://schemas.microsoft.com/office/drawing/2014/main" pred="{A1DEF042-2C77-793E-4B0D-9DFC6870E74C}"/>
            </a:ext>
          </a:extLst>
        </xdr:cNvPr>
        <xdr:cNvPicPr>
          <a:picLocks noChangeAspect="1"/>
        </xdr:cNvPicPr>
      </xdr:nvPicPr>
      <xdr:blipFill>
        <a:blip xmlns:r="http://schemas.openxmlformats.org/officeDocument/2006/relationships" r:embed="rId1"/>
        <a:stretch>
          <a:fillRect/>
        </a:stretch>
      </xdr:blipFill>
      <xdr:spPr>
        <a:xfrm>
          <a:off x="948267" y="2624667"/>
          <a:ext cx="10209006" cy="5210169"/>
        </a:xfrm>
        <a:prstGeom prst="rect">
          <a:avLst/>
        </a:prstGeom>
      </xdr:spPr>
    </xdr:pic>
    <xdr:clientData/>
  </xdr:twoCellAnchor>
  <xdr:twoCellAnchor editAs="oneCell">
    <xdr:from>
      <xdr:col>11</xdr:col>
      <xdr:colOff>14637</xdr:colOff>
      <xdr:row>5</xdr:row>
      <xdr:rowOff>127717</xdr:rowOff>
    </xdr:from>
    <xdr:to>
      <xdr:col>20</xdr:col>
      <xdr:colOff>651697</xdr:colOff>
      <xdr:row>31</xdr:row>
      <xdr:rowOff>192847</xdr:rowOff>
    </xdr:to>
    <xdr:pic>
      <xdr:nvPicPr>
        <xdr:cNvPr id="3" name="Immagine 1">
          <a:extLst>
            <a:ext uri="{FF2B5EF4-FFF2-40B4-BE49-F238E27FC236}">
              <a16:creationId xmlns:a16="http://schemas.microsoft.com/office/drawing/2014/main" id="{5D69E2C3-016C-FA4D-B3BE-73C352E084C1}"/>
            </a:ext>
          </a:extLst>
        </xdr:cNvPr>
        <xdr:cNvPicPr>
          <a:picLocks noChangeAspect="1"/>
        </xdr:cNvPicPr>
      </xdr:nvPicPr>
      <xdr:blipFill>
        <a:blip xmlns:r="http://schemas.openxmlformats.org/officeDocument/2006/relationships" r:embed="rId2"/>
        <a:stretch>
          <a:fillRect/>
        </a:stretch>
      </xdr:blipFill>
      <xdr:spPr>
        <a:xfrm>
          <a:off x="11698637" y="1329984"/>
          <a:ext cx="9171460" cy="6490805"/>
        </a:xfrm>
        <a:prstGeom prst="rect">
          <a:avLst/>
        </a:prstGeom>
      </xdr:spPr>
    </xdr:pic>
    <xdr:clientData/>
  </xdr:twoCellAnchor>
  <xdr:twoCellAnchor editAs="oneCell">
    <xdr:from>
      <xdr:col>17</xdr:col>
      <xdr:colOff>1903</xdr:colOff>
      <xdr:row>39</xdr:row>
      <xdr:rowOff>1904</xdr:rowOff>
    </xdr:from>
    <xdr:to>
      <xdr:col>20</xdr:col>
      <xdr:colOff>69636</xdr:colOff>
      <xdr:row>48</xdr:row>
      <xdr:rowOff>43714</xdr:rowOff>
    </xdr:to>
    <xdr:pic>
      <xdr:nvPicPr>
        <xdr:cNvPr id="4" name="Immagine 3">
          <a:extLst>
            <a:ext uri="{FF2B5EF4-FFF2-40B4-BE49-F238E27FC236}">
              <a16:creationId xmlns:a16="http://schemas.microsoft.com/office/drawing/2014/main" id="{6A45F346-901A-2363-1F49-07E6E1184A77}"/>
            </a:ext>
          </a:extLst>
        </xdr:cNvPr>
        <xdr:cNvPicPr>
          <a:picLocks noChangeAspect="1"/>
        </xdr:cNvPicPr>
      </xdr:nvPicPr>
      <xdr:blipFill>
        <a:blip xmlns:r="http://schemas.openxmlformats.org/officeDocument/2006/relationships" r:embed="rId3"/>
        <a:stretch>
          <a:fillRect/>
        </a:stretch>
      </xdr:blipFill>
      <xdr:spPr>
        <a:xfrm>
          <a:off x="16947761" y="9109833"/>
          <a:ext cx="2930869" cy="207080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P22"/>
  <sheetViews>
    <sheetView showGridLines="0" tabSelected="1" zoomScale="75" zoomScaleNormal="115" workbookViewId="0">
      <selection activeCell="H27" sqref="H27"/>
    </sheetView>
  </sheetViews>
  <sheetFormatPr baseColWidth="10" defaultColWidth="11.5703125" defaultRowHeight="18" x14ac:dyDescent="0.25"/>
  <cols>
    <col min="1" max="1" width="7.85546875" customWidth="1"/>
    <col min="2" max="2" width="13.7109375" bestFit="1" customWidth="1"/>
    <col min="3" max="3" width="17.7109375" bestFit="1" customWidth="1"/>
    <col min="4" max="4" width="13" bestFit="1" customWidth="1"/>
    <col min="5" max="5" width="8.7109375" bestFit="1" customWidth="1"/>
    <col min="6" max="6" width="8.28515625" bestFit="1" customWidth="1"/>
    <col min="7" max="7" width="9.140625" bestFit="1" customWidth="1"/>
    <col min="8" max="8" width="26.5703125" customWidth="1"/>
    <col min="9" max="9" width="28.28515625" customWidth="1"/>
    <col min="10" max="10" width="25.28515625" customWidth="1"/>
    <col min="11" max="11" width="14.5703125" bestFit="1" customWidth="1"/>
    <col min="12" max="12" width="25.7109375" customWidth="1"/>
    <col min="13" max="13" width="19" customWidth="1"/>
    <col min="14" max="14" width="8" bestFit="1" customWidth="1"/>
    <col min="15" max="15" width="14.140625" bestFit="1" customWidth="1"/>
    <col min="16" max="16" width="13.42578125" bestFit="1" customWidth="1"/>
    <col min="17" max="17" width="11.5703125" customWidth="1"/>
  </cols>
  <sheetData>
    <row r="2" spans="1:16" x14ac:dyDescent="0.25">
      <c r="B2" s="111" t="s">
        <v>46</v>
      </c>
      <c r="C2" s="111"/>
      <c r="D2" s="111"/>
    </row>
    <row r="3" spans="1:16" x14ac:dyDescent="0.25">
      <c r="B3" s="112" t="s">
        <v>47</v>
      </c>
      <c r="C3" s="112"/>
      <c r="D3" s="112"/>
    </row>
    <row r="4" spans="1:16" ht="28" x14ac:dyDescent="0.35">
      <c r="B4" s="110" t="s">
        <v>76</v>
      </c>
      <c r="C4" s="110"/>
      <c r="D4" s="110"/>
      <c r="E4" s="110"/>
      <c r="F4" s="110"/>
      <c r="G4" s="110"/>
      <c r="H4" s="110"/>
      <c r="I4" s="110"/>
      <c r="J4" s="110"/>
      <c r="K4" s="16"/>
    </row>
    <row r="5" spans="1:16" x14ac:dyDescent="0.25">
      <c r="A5" s="17"/>
      <c r="B5" s="110"/>
      <c r="C5" s="110"/>
      <c r="D5" s="110"/>
      <c r="E5" s="110"/>
      <c r="F5" s="110"/>
      <c r="G5" s="110"/>
      <c r="H5" s="110"/>
      <c r="I5" s="110"/>
      <c r="J5" s="110"/>
      <c r="L5" s="18"/>
    </row>
    <row r="6" spans="1:16" x14ac:dyDescent="0.25">
      <c r="B6" s="110"/>
      <c r="C6" s="110"/>
      <c r="D6" s="110"/>
      <c r="E6" s="110"/>
      <c r="F6" s="110"/>
      <c r="G6" s="110"/>
      <c r="H6" s="110"/>
      <c r="I6" s="110"/>
      <c r="J6" s="110"/>
    </row>
    <row r="7" spans="1:16" x14ac:dyDescent="0.25">
      <c r="B7" s="110"/>
      <c r="C7" s="110"/>
      <c r="D7" s="110"/>
      <c r="E7" s="110"/>
      <c r="F7" s="110"/>
      <c r="G7" s="110"/>
      <c r="H7" s="110"/>
      <c r="I7" s="110"/>
      <c r="J7" s="110"/>
    </row>
    <row r="8" spans="1:16" x14ac:dyDescent="0.25">
      <c r="B8" s="110"/>
      <c r="C8" s="110"/>
      <c r="D8" s="110"/>
      <c r="E8" s="110"/>
      <c r="F8" s="110"/>
      <c r="G8" s="110"/>
      <c r="H8" s="110"/>
      <c r="I8" s="110"/>
      <c r="J8" s="110"/>
    </row>
    <row r="9" spans="1:16" ht="23" x14ac:dyDescent="0.3">
      <c r="B9" s="110"/>
      <c r="C9" s="110"/>
      <c r="D9" s="110"/>
      <c r="E9" s="110"/>
      <c r="F9" s="110"/>
      <c r="G9" s="110"/>
      <c r="H9" s="110"/>
      <c r="I9" s="110"/>
      <c r="J9" s="110"/>
      <c r="K9" s="19"/>
    </row>
    <row r="10" spans="1:16" x14ac:dyDescent="0.25">
      <c r="B10" s="110"/>
      <c r="C10" s="110"/>
      <c r="D10" s="110"/>
      <c r="E10" s="110"/>
      <c r="F10" s="110"/>
      <c r="G10" s="110"/>
      <c r="H10" s="110"/>
      <c r="I10" s="110"/>
      <c r="J10" s="110"/>
    </row>
    <row r="11" spans="1:16" x14ac:dyDescent="0.25">
      <c r="B11" s="110"/>
      <c r="C11" s="110"/>
      <c r="D11" s="110"/>
      <c r="E11" s="110"/>
      <c r="F11" s="110"/>
      <c r="G11" s="110"/>
      <c r="H11" s="110"/>
      <c r="I11" s="110"/>
      <c r="J11" s="110"/>
    </row>
    <row r="12" spans="1:16" x14ac:dyDescent="0.25">
      <c r="B12" s="110"/>
      <c r="C12" s="110"/>
      <c r="D12" s="110"/>
      <c r="E12" s="110"/>
      <c r="F12" s="110"/>
      <c r="G12" s="110"/>
      <c r="H12" s="110"/>
      <c r="I12" s="110"/>
      <c r="J12" s="110"/>
    </row>
    <row r="13" spans="1:16" x14ac:dyDescent="0.25">
      <c r="B13" s="110"/>
      <c r="C13" s="110"/>
      <c r="D13" s="110"/>
      <c r="E13" s="110"/>
      <c r="F13" s="110"/>
      <c r="G13" s="110"/>
      <c r="H13" s="110"/>
      <c r="I13" s="110"/>
      <c r="J13" s="110"/>
    </row>
    <row r="15" spans="1:16" x14ac:dyDescent="0.25">
      <c r="B15" s="20" t="s">
        <v>48</v>
      </c>
      <c r="C15" s="20" t="s">
        <v>49</v>
      </c>
      <c r="D15" s="20" t="s">
        <v>50</v>
      </c>
      <c r="E15" s="20" t="s">
        <v>51</v>
      </c>
      <c r="F15" s="20" t="s">
        <v>2</v>
      </c>
      <c r="G15" s="20" t="s">
        <v>3</v>
      </c>
      <c r="H15" s="20" t="s">
        <v>74</v>
      </c>
      <c r="I15" s="20" t="s">
        <v>75</v>
      </c>
      <c r="J15" s="20" t="s">
        <v>52</v>
      </c>
      <c r="K15" s="20" t="s">
        <v>53</v>
      </c>
      <c r="L15" s="20" t="s">
        <v>54</v>
      </c>
      <c r="M15" s="20" t="s">
        <v>55</v>
      </c>
      <c r="N15" s="20" t="s">
        <v>56</v>
      </c>
      <c r="O15" s="20" t="s">
        <v>57</v>
      </c>
      <c r="P15" s="20" t="s">
        <v>58</v>
      </c>
    </row>
    <row r="16" spans="1:16" x14ac:dyDescent="0.25">
      <c r="B16" s="12" t="s">
        <v>6</v>
      </c>
      <c r="C16" s="160" t="s">
        <v>59</v>
      </c>
      <c r="D16" s="157" t="s">
        <v>60</v>
      </c>
      <c r="E16" s="157" t="s">
        <v>61</v>
      </c>
      <c r="F16" s="157" t="s">
        <v>62</v>
      </c>
      <c r="G16" s="157" t="s">
        <v>63</v>
      </c>
      <c r="H16" s="157" t="s">
        <v>64</v>
      </c>
      <c r="I16" s="157" t="s">
        <v>65</v>
      </c>
      <c r="J16" s="158">
        <v>2747</v>
      </c>
      <c r="K16" s="159">
        <v>0.22</v>
      </c>
      <c r="L16" s="158">
        <v>3700</v>
      </c>
      <c r="M16" s="158">
        <v>6522</v>
      </c>
      <c r="N16" s="157" t="s">
        <v>66</v>
      </c>
      <c r="O16" s="157" t="s">
        <v>41</v>
      </c>
      <c r="P16" s="157" t="s">
        <v>67</v>
      </c>
    </row>
    <row r="17" spans="2:16" x14ac:dyDescent="0.25">
      <c r="B17" s="12" t="s">
        <v>7</v>
      </c>
      <c r="C17" s="160" t="s">
        <v>59</v>
      </c>
      <c r="D17" s="157" t="s">
        <v>60</v>
      </c>
      <c r="E17" s="157" t="s">
        <v>61</v>
      </c>
      <c r="F17" s="157" t="s">
        <v>68</v>
      </c>
      <c r="G17" s="157" t="s">
        <v>69</v>
      </c>
      <c r="H17" s="157" t="s">
        <v>70</v>
      </c>
      <c r="I17" s="157" t="s">
        <v>71</v>
      </c>
      <c r="J17" s="158">
        <v>1343</v>
      </c>
      <c r="K17" s="159">
        <v>0.31</v>
      </c>
      <c r="L17" s="158">
        <v>2100</v>
      </c>
      <c r="M17" s="158">
        <v>3215</v>
      </c>
      <c r="N17" s="157" t="s">
        <v>72</v>
      </c>
      <c r="O17" s="157" t="s">
        <v>43</v>
      </c>
      <c r="P17" s="157" t="s">
        <v>73</v>
      </c>
    </row>
    <row r="20" spans="2:16" x14ac:dyDescent="0.25">
      <c r="B20" s="15"/>
      <c r="C20" s="15"/>
      <c r="D20" s="15"/>
      <c r="E20" s="15"/>
      <c r="F20" s="15"/>
      <c r="G20" s="15"/>
      <c r="H20" s="15"/>
      <c r="I20" s="15"/>
      <c r="J20" s="15"/>
      <c r="K20" s="15"/>
      <c r="L20" s="15"/>
      <c r="M20" s="15"/>
      <c r="N20" s="15"/>
      <c r="O20" s="15"/>
      <c r="P20" s="15"/>
    </row>
    <row r="21" spans="2:16" x14ac:dyDescent="0.25">
      <c r="J21" s="21"/>
      <c r="K21" s="22"/>
      <c r="L21" s="21"/>
      <c r="M21" s="21"/>
    </row>
    <row r="22" spans="2:16" x14ac:dyDescent="0.25">
      <c r="J22" s="21"/>
      <c r="K22" s="22"/>
      <c r="L22" s="21"/>
      <c r="M22" s="21"/>
    </row>
  </sheetData>
  <mergeCells count="3">
    <mergeCell ref="B4:J13"/>
    <mergeCell ref="B2:D2"/>
    <mergeCell ref="B3:D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284"/>
  <sheetViews>
    <sheetView showGridLines="0" zoomScale="67" zoomScaleNormal="85" workbookViewId="0">
      <selection activeCell="Q11" sqref="Q11"/>
    </sheetView>
  </sheetViews>
  <sheetFormatPr baseColWidth="10" defaultColWidth="11.5703125" defaultRowHeight="18" x14ac:dyDescent="0.25"/>
  <cols>
    <col min="1" max="1" width="9.140625" customWidth="1"/>
    <col min="2" max="2" width="9.5703125" bestFit="1" customWidth="1"/>
    <col min="3" max="3" width="7.42578125" customWidth="1"/>
    <col min="4" max="7" width="9.5703125" style="4" customWidth="1"/>
    <col min="8" max="8" width="7.85546875" customWidth="1"/>
    <col min="9" max="9" width="17.28515625" customWidth="1"/>
    <col min="10" max="10" width="28.5703125" customWidth="1"/>
    <col min="12" max="12" width="14.7109375" customWidth="1"/>
    <col min="13" max="14" width="14.5703125" customWidth="1"/>
    <col min="15" max="15" width="17.28515625" customWidth="1"/>
    <col min="16" max="16" width="13.85546875" bestFit="1" customWidth="1"/>
    <col min="17" max="17" width="15.7109375" customWidth="1"/>
    <col min="18" max="18" width="16.5703125" bestFit="1" customWidth="1"/>
    <col min="19" max="19" width="18.28515625" customWidth="1"/>
    <col min="20" max="20" width="19" customWidth="1"/>
    <col min="21" max="21" width="13.5703125" bestFit="1" customWidth="1"/>
    <col min="22" max="22" width="11.5703125" style="115"/>
    <col min="23" max="23" width="13.85546875" style="115" bestFit="1" customWidth="1"/>
    <col min="24" max="24" width="15.7109375" style="115" bestFit="1" customWidth="1"/>
    <col min="25" max="25" width="15.5703125" style="115" bestFit="1" customWidth="1"/>
    <col min="26" max="26" width="18.7109375" style="115" bestFit="1" customWidth="1"/>
    <col min="27" max="27" width="19.140625" customWidth="1"/>
    <col min="28" max="28" width="12" bestFit="1" customWidth="1"/>
  </cols>
  <sheetData>
    <row r="1" spans="1:28" ht="24" thickBot="1" x14ac:dyDescent="0.35">
      <c r="A1" s="107" t="s">
        <v>77</v>
      </c>
      <c r="B1" s="108"/>
      <c r="C1" s="108"/>
      <c r="D1" s="108"/>
      <c r="E1" s="108"/>
      <c r="F1" s="108"/>
      <c r="G1" s="108"/>
      <c r="H1" s="108"/>
      <c r="I1" s="109"/>
      <c r="J1" s="107" t="s">
        <v>78</v>
      </c>
      <c r="K1" s="108"/>
      <c r="L1" s="108"/>
      <c r="M1" s="108"/>
      <c r="N1" s="108"/>
      <c r="O1" s="108"/>
      <c r="P1" s="108"/>
      <c r="Q1" s="108"/>
      <c r="R1" s="109"/>
      <c r="S1" s="115"/>
      <c r="T1" s="115"/>
      <c r="U1" s="115"/>
    </row>
    <row r="2" spans="1:28" ht="28" x14ac:dyDescent="0.35">
      <c r="D2" s="106" t="s">
        <v>0</v>
      </c>
      <c r="E2" s="106"/>
      <c r="F2" s="106"/>
      <c r="G2" s="106"/>
      <c r="J2" s="152"/>
      <c r="K2" s="5"/>
      <c r="L2" s="5"/>
      <c r="M2" s="5"/>
      <c r="N2" s="5"/>
      <c r="O2" s="115"/>
      <c r="P2" s="115"/>
      <c r="Q2" s="115"/>
      <c r="R2" s="115"/>
      <c r="S2" s="115"/>
      <c r="T2" s="115"/>
      <c r="U2" s="115"/>
    </row>
    <row r="3" spans="1:28" ht="58" thickBot="1" x14ac:dyDescent="0.3">
      <c r="A3" s="2" t="s">
        <v>1</v>
      </c>
      <c r="B3" s="2" t="s">
        <v>8</v>
      </c>
      <c r="D3" s="3" t="s">
        <v>2</v>
      </c>
      <c r="E3" s="3" t="s">
        <v>3</v>
      </c>
      <c r="F3" s="3" t="s">
        <v>4</v>
      </c>
      <c r="G3" s="3" t="s">
        <v>5</v>
      </c>
      <c r="H3" s="24" t="s">
        <v>56</v>
      </c>
      <c r="I3" s="35" t="s">
        <v>90</v>
      </c>
      <c r="J3" s="11"/>
      <c r="K3" s="128" t="s">
        <v>2</v>
      </c>
      <c r="L3" s="128" t="s">
        <v>3</v>
      </c>
      <c r="M3" s="128" t="s">
        <v>4</v>
      </c>
      <c r="N3" s="128" t="s">
        <v>5</v>
      </c>
      <c r="O3" s="115"/>
      <c r="P3" s="115"/>
      <c r="Q3" s="115"/>
      <c r="R3" s="115"/>
      <c r="S3" s="115"/>
      <c r="T3" s="115"/>
      <c r="U3" s="115"/>
    </row>
    <row r="4" spans="1:28" x14ac:dyDescent="0.25">
      <c r="A4" t="s">
        <v>9</v>
      </c>
      <c r="B4" s="4">
        <v>0</v>
      </c>
      <c r="D4" s="6">
        <v>0.85174108096560563</v>
      </c>
      <c r="E4" s="6">
        <v>-0.13910824915311137</v>
      </c>
      <c r="F4" s="6">
        <v>1.9301736503189186</v>
      </c>
      <c r="G4" s="1">
        <v>0.11029999694814906</v>
      </c>
      <c r="H4" cm="1">
        <f t="array" ref="H4">MMULT(D4:F4,$K$34:$K$36)</f>
        <v>6.2793090973139183</v>
      </c>
      <c r="I4" s="27">
        <f>IF(H4&lt;$N$44,1,0)</f>
        <v>0</v>
      </c>
      <c r="J4" s="32" t="s">
        <v>81</v>
      </c>
      <c r="K4" s="9">
        <f>AVERAGE(D4:D25)</f>
        <v>0.85786115187952394</v>
      </c>
      <c r="L4" s="9">
        <f>AVERAGE(E4:E25)</f>
        <v>4.4615064491159345E-2</v>
      </c>
      <c r="M4" s="9">
        <f>AVERAGE(F4:F25)</f>
        <v>1.4028595843379013</v>
      </c>
      <c r="N4" s="126">
        <f>AVERAGE(G4:G25)</f>
        <v>0.11938896395209149</v>
      </c>
      <c r="O4" s="115"/>
      <c r="P4" s="115"/>
      <c r="Q4" s="115"/>
      <c r="R4" s="115"/>
      <c r="S4" s="115"/>
      <c r="T4" s="115"/>
      <c r="U4" s="115"/>
    </row>
    <row r="5" spans="1:28" x14ac:dyDescent="0.25">
      <c r="A5" t="s">
        <v>10</v>
      </c>
      <c r="B5" s="4">
        <v>0</v>
      </c>
      <c r="D5" s="6">
        <v>1.1025666066469313</v>
      </c>
      <c r="E5" s="6">
        <v>-0.32683126316110722</v>
      </c>
      <c r="F5" s="6">
        <v>2.576464125492111</v>
      </c>
      <c r="G5" s="1">
        <v>0.18652912991729487</v>
      </c>
      <c r="H5" cm="1">
        <f t="array" ref="H5">MMULT(D5:F5,$K$34:$K$36)</f>
        <v>8.4497022225237259</v>
      </c>
      <c r="I5" s="27">
        <f t="shared" ref="I5:I35" si="0">IF(H5&lt;$N$44,1,0)</f>
        <v>0</v>
      </c>
      <c r="J5" s="33" t="s">
        <v>82</v>
      </c>
      <c r="K5" s="10">
        <f>AVERAGE(D26:D35)</f>
        <v>0.55818268379772329</v>
      </c>
      <c r="L5" s="10">
        <f>AVERAGE(E26:E35)</f>
        <v>0.23542130802331612</v>
      </c>
      <c r="M5" s="10">
        <f>AVERAGE(F26:F35)</f>
        <v>1.0681783501693776</v>
      </c>
      <c r="N5" s="127">
        <f>AVERAGE(G26:G35)</f>
        <v>0.1151010773033844</v>
      </c>
      <c r="O5" s="115"/>
      <c r="P5" s="115"/>
      <c r="Q5" s="115"/>
      <c r="R5" s="115"/>
      <c r="S5" s="115"/>
      <c r="T5" s="115"/>
      <c r="U5" s="115"/>
    </row>
    <row r="6" spans="1:28" x14ac:dyDescent="0.25">
      <c r="A6" t="s">
        <v>11</v>
      </c>
      <c r="B6" s="4">
        <v>0</v>
      </c>
      <c r="D6" s="6">
        <v>1.0170720542008729</v>
      </c>
      <c r="E6" s="6">
        <v>0.10460036011841178</v>
      </c>
      <c r="F6" s="6">
        <v>0.32685323648792991</v>
      </c>
      <c r="G6" s="1">
        <v>5.8980071413312178E-2</v>
      </c>
      <c r="H6" cm="1">
        <f t="array" ref="H6">MMULT(D6:F6,$K$34:$K$36)</f>
        <v>5.9438982324088565</v>
      </c>
      <c r="I6" s="27">
        <f t="shared" si="0"/>
        <v>0</v>
      </c>
      <c r="J6" s="34" t="s">
        <v>83</v>
      </c>
      <c r="K6" s="25">
        <f>_xlfn.STDEV.S(D4:D25)</f>
        <v>0.16608446429365842</v>
      </c>
      <c r="L6" s="25">
        <f>_xlfn.STDEV.S(E4:E25)</f>
        <v>0.27644398250184643</v>
      </c>
      <c r="M6" s="25">
        <f>_xlfn.STDEV.S(F4:F25)</f>
        <v>0.92100657027519528</v>
      </c>
      <c r="N6" s="124">
        <f>_xlfn.STDEV.S(G4:G25)</f>
        <v>5.4845664653511129E-2</v>
      </c>
      <c r="O6" s="115"/>
      <c r="P6" s="115"/>
      <c r="Q6" s="115"/>
      <c r="R6" s="115"/>
      <c r="S6" s="115"/>
      <c r="T6" s="115"/>
      <c r="U6" s="115"/>
    </row>
    <row r="7" spans="1:28" x14ac:dyDescent="0.25">
      <c r="A7" t="s">
        <v>12</v>
      </c>
      <c r="B7" s="4">
        <v>0</v>
      </c>
      <c r="D7" s="6">
        <v>0.65985900448622092</v>
      </c>
      <c r="E7" s="6">
        <v>0.11428693502609333</v>
      </c>
      <c r="F7" s="6">
        <v>0.78133487960448011</v>
      </c>
      <c r="G7" s="1">
        <v>1.5045625171666617E-2</v>
      </c>
      <c r="H7" cm="1">
        <f t="array" ref="H7">MMULT(D7:F7,$K$34:$K$36)</f>
        <v>4.0660783924807378</v>
      </c>
      <c r="I7" s="27">
        <f t="shared" si="0"/>
        <v>1</v>
      </c>
      <c r="J7" s="34" t="s">
        <v>84</v>
      </c>
      <c r="K7" s="25">
        <f>_xlfn.STDEV.S(D26:D35)</f>
        <v>0.30969488197757983</v>
      </c>
      <c r="L7" s="25">
        <f>_xlfn.STDEV.S(E26:E35)</f>
        <v>0.20908554378689842</v>
      </c>
      <c r="M7" s="25">
        <f>_xlfn.STDEV.S(F26:F35)</f>
        <v>0.73120436347560858</v>
      </c>
      <c r="N7" s="124">
        <f>_xlfn.STDEV.S(G26:G35)</f>
        <v>4.3787636576291859E-2</v>
      </c>
      <c r="O7" s="115"/>
      <c r="P7" s="115"/>
      <c r="Q7" s="115"/>
      <c r="R7" s="115"/>
      <c r="S7" s="115"/>
      <c r="T7" s="115"/>
      <c r="U7" s="115"/>
    </row>
    <row r="8" spans="1:28" x14ac:dyDescent="0.25">
      <c r="A8" t="s">
        <v>13</v>
      </c>
      <c r="B8" s="4">
        <v>0</v>
      </c>
      <c r="D8" s="6">
        <v>0.91092257454145931</v>
      </c>
      <c r="E8" s="6">
        <v>0.34724204229865419</v>
      </c>
      <c r="F8" s="6">
        <v>2.4788659321878721</v>
      </c>
      <c r="G8" s="1">
        <v>9.5968504898220786E-2</v>
      </c>
      <c r="H8" cm="1">
        <f t="array" ref="H8">MMULT(D8:F8,$K$34:$K$36)</f>
        <v>5.9852996160789083</v>
      </c>
      <c r="I8" s="27">
        <f t="shared" si="0"/>
        <v>0</v>
      </c>
      <c r="J8" s="34" t="s">
        <v>85</v>
      </c>
      <c r="K8" s="25">
        <f>MIN(D4:D25)</f>
        <v>0.61519821771904659</v>
      </c>
      <c r="L8" s="25">
        <f>MIN(E4:E25)</f>
        <v>-0.37557298501541186</v>
      </c>
      <c r="M8" s="25">
        <f>MIN(F4:F25)</f>
        <v>1.9226660969878233E-2</v>
      </c>
      <c r="N8" s="124">
        <f>MIN(G4:G25)</f>
        <v>1.5045625171666617E-2</v>
      </c>
      <c r="O8" s="115"/>
      <c r="P8" s="115"/>
      <c r="Q8" s="115"/>
      <c r="R8" s="115"/>
      <c r="S8" s="115"/>
      <c r="T8" s="115"/>
      <c r="U8" s="115"/>
    </row>
    <row r="9" spans="1:28" x14ac:dyDescent="0.25">
      <c r="A9" t="s">
        <v>14</v>
      </c>
      <c r="B9" s="4">
        <v>0</v>
      </c>
      <c r="D9" s="6">
        <v>0.7042634357737968</v>
      </c>
      <c r="E9" s="6">
        <v>-0.31874507889034703</v>
      </c>
      <c r="F9" s="6">
        <v>1.1691640980254525</v>
      </c>
      <c r="G9" s="1">
        <v>9.7549363689077434E-2</v>
      </c>
      <c r="H9" cm="1">
        <f t="array" ref="H9">MMULT(D9:F9,$K$34:$K$36)</f>
        <v>5.3575116428077312</v>
      </c>
      <c r="I9" s="27">
        <f t="shared" si="0"/>
        <v>0</v>
      </c>
      <c r="J9" s="34" t="s">
        <v>86</v>
      </c>
      <c r="K9" s="25">
        <f>MIN(D26:D35)</f>
        <v>0.2</v>
      </c>
      <c r="L9" s="25">
        <f>MIN(E26:E35)</f>
        <v>-0.17255470442823573</v>
      </c>
      <c r="M9" s="25">
        <f>MIN(F26:F35)</f>
        <v>0.18781090731528671</v>
      </c>
      <c r="N9" s="124">
        <f>MIN(G26:G35)</f>
        <v>4.6345408490249339E-2</v>
      </c>
      <c r="O9" s="115"/>
      <c r="P9" s="115"/>
      <c r="Q9" s="115"/>
      <c r="R9" s="115"/>
      <c r="S9" s="115"/>
      <c r="T9" s="115"/>
      <c r="U9" s="115"/>
    </row>
    <row r="10" spans="1:28" x14ac:dyDescent="0.25">
      <c r="A10" t="s">
        <v>15</v>
      </c>
      <c r="B10" s="4">
        <v>0</v>
      </c>
      <c r="D10" s="6">
        <v>0.93013092440565193</v>
      </c>
      <c r="E10" s="6">
        <v>0.50363109225745417</v>
      </c>
      <c r="F10" s="6">
        <v>1.3536484878078554</v>
      </c>
      <c r="G10" s="1">
        <v>0.1846552934354686</v>
      </c>
      <c r="H10" cm="1">
        <f t="array" ref="H10">MMULT(D10:F10,$K$34:$K$36)</f>
        <v>5.209341584544072</v>
      </c>
      <c r="I10" s="27">
        <f t="shared" si="0"/>
        <v>0</v>
      </c>
      <c r="J10" s="34" t="s">
        <v>87</v>
      </c>
      <c r="K10" s="25">
        <f>MAX(D4:D25)</f>
        <v>1.1790887173070468</v>
      </c>
      <c r="L10" s="25">
        <f>MAX(E4:E25)</f>
        <v>0.50363109225745417</v>
      </c>
      <c r="M10" s="25">
        <f>MAX(F4:F25)</f>
        <v>2.7538987395855585</v>
      </c>
      <c r="N10" s="124">
        <f>MAX(G4:G25)</f>
        <v>0.18840907010101626</v>
      </c>
      <c r="O10" s="115"/>
      <c r="P10" s="115"/>
      <c r="Q10" s="115"/>
      <c r="R10" s="115"/>
      <c r="S10" s="115"/>
      <c r="T10" s="115"/>
      <c r="U10" s="115"/>
    </row>
    <row r="11" spans="1:28" x14ac:dyDescent="0.25">
      <c r="A11" t="s">
        <v>16</v>
      </c>
      <c r="B11" s="4">
        <v>0</v>
      </c>
      <c r="D11" s="6">
        <v>0.99866939298684643</v>
      </c>
      <c r="E11" s="6">
        <v>-0.26643757438886684</v>
      </c>
      <c r="F11" s="6">
        <v>2.7214880825220495</v>
      </c>
      <c r="G11" s="1">
        <v>7.3134556108279666E-2</v>
      </c>
      <c r="H11" cm="1">
        <f t="array" ref="H11">MMULT(D11:F11,$K$34:$K$36)</f>
        <v>7.8002543459600187</v>
      </c>
      <c r="I11" s="27">
        <f t="shared" si="0"/>
        <v>0</v>
      </c>
      <c r="J11" s="129" t="s">
        <v>88</v>
      </c>
      <c r="K11" s="130">
        <f>MAX(D26:D35)</f>
        <v>1.2</v>
      </c>
      <c r="L11" s="130">
        <f>MAX(E26:E35)</f>
        <v>0.50246589556566046</v>
      </c>
      <c r="M11" s="130">
        <f>MAX(F26:F35)</f>
        <v>1.8323313089388715</v>
      </c>
      <c r="N11" s="125">
        <f>MAX(G26:G35)</f>
        <v>0.17882839442121601</v>
      </c>
      <c r="O11" s="115"/>
      <c r="P11" s="115"/>
      <c r="Q11" s="115"/>
      <c r="R11" s="115"/>
      <c r="S11" s="115"/>
      <c r="T11" s="115"/>
      <c r="U11" s="115"/>
      <c r="AA11" s="115"/>
      <c r="AB11" s="115"/>
    </row>
    <row r="12" spans="1:28" x14ac:dyDescent="0.25">
      <c r="A12" t="s">
        <v>17</v>
      </c>
      <c r="B12" s="4">
        <v>0</v>
      </c>
      <c r="D12" s="6">
        <v>0.7633716849269081</v>
      </c>
      <c r="E12" s="6">
        <v>0.1416901150547808</v>
      </c>
      <c r="F12" s="6">
        <v>1.2904751731925412</v>
      </c>
      <c r="G12" s="1">
        <v>0.18245185705130162</v>
      </c>
      <c r="H12" cm="1">
        <f t="array" ref="H12">MMULT(D12:F12,$K$34:$K$36)</f>
        <v>4.8885067786733023</v>
      </c>
      <c r="I12" s="27">
        <f t="shared" si="0"/>
        <v>0</v>
      </c>
      <c r="J12" s="115"/>
      <c r="K12" s="115"/>
      <c r="L12" s="115"/>
      <c r="M12" s="115"/>
      <c r="N12" s="115"/>
      <c r="O12" s="115"/>
      <c r="P12" s="115"/>
      <c r="Q12" s="115"/>
      <c r="R12" s="115"/>
      <c r="S12" s="115"/>
      <c r="T12" s="115"/>
      <c r="U12" s="115"/>
      <c r="AA12" s="115"/>
      <c r="AB12" s="115"/>
    </row>
    <row r="13" spans="1:28" x14ac:dyDescent="0.25">
      <c r="A13" t="s">
        <v>18</v>
      </c>
      <c r="B13" s="4">
        <v>0</v>
      </c>
      <c r="D13" s="6">
        <v>0.63217261268959624</v>
      </c>
      <c r="E13" s="6">
        <v>0.11644886623737305</v>
      </c>
      <c r="F13" s="6">
        <v>0.75835444196905422</v>
      </c>
      <c r="G13" s="1">
        <v>0.1578661458174383</v>
      </c>
      <c r="H13" cm="1">
        <f t="array" ref="H13">MMULT(D13:F13,$K$34:$K$36)</f>
        <v>3.8873210994489504</v>
      </c>
      <c r="I13" s="27">
        <f t="shared" si="0"/>
        <v>1</v>
      </c>
      <c r="J13" s="154" t="s">
        <v>79</v>
      </c>
      <c r="K13" s="155"/>
      <c r="L13" s="155"/>
      <c r="M13" s="155"/>
      <c r="N13" s="155"/>
      <c r="O13" s="156"/>
      <c r="P13" s="153"/>
      <c r="Q13" s="153"/>
      <c r="R13" s="153"/>
      <c r="S13" s="115"/>
      <c r="T13" s="115"/>
      <c r="U13" s="115"/>
      <c r="AA13" s="115"/>
      <c r="AB13" s="115"/>
    </row>
    <row r="14" spans="1:28" x14ac:dyDescent="0.25">
      <c r="A14" t="s">
        <v>19</v>
      </c>
      <c r="B14" s="4">
        <v>0</v>
      </c>
      <c r="D14" s="6">
        <v>0.61519821771904659</v>
      </c>
      <c r="E14" s="6">
        <v>0.45590014343699459</v>
      </c>
      <c r="F14" s="6">
        <v>2.7538987395855585</v>
      </c>
      <c r="G14" s="1">
        <v>0.13863338114566484</v>
      </c>
      <c r="H14" cm="1">
        <f t="array" ref="H14">MMULT(D14:F14,$K$34:$K$36)</f>
        <v>4.1853697500349059</v>
      </c>
      <c r="I14" s="27">
        <f t="shared" si="0"/>
        <v>1</v>
      </c>
      <c r="J14" s="115"/>
      <c r="K14" s="115"/>
      <c r="L14" s="115"/>
      <c r="M14" s="115"/>
      <c r="N14" s="115"/>
      <c r="O14" s="115"/>
      <c r="P14" s="115"/>
      <c r="Q14" s="115"/>
      <c r="R14" s="115"/>
      <c r="S14" s="115"/>
      <c r="T14" s="115"/>
      <c r="U14" s="115"/>
      <c r="AA14" s="115"/>
      <c r="AB14" s="115"/>
    </row>
    <row r="15" spans="1:28" ht="20" thickBot="1" x14ac:dyDescent="0.3">
      <c r="A15" t="s">
        <v>20</v>
      </c>
      <c r="B15" s="4">
        <v>0</v>
      </c>
      <c r="D15" s="6">
        <v>0.76309701834162413</v>
      </c>
      <c r="E15" s="6">
        <v>0.40319956053346351</v>
      </c>
      <c r="F15" s="6">
        <v>0.29709768974883266</v>
      </c>
      <c r="G15" s="1">
        <v>0.1239906002990814</v>
      </c>
      <c r="H15" cm="1">
        <f t="array" ref="H15">MMULT(D15:F15,$K$34:$K$36)</f>
        <v>3.8664251014906066</v>
      </c>
      <c r="I15" s="27">
        <f t="shared" si="0"/>
        <v>1</v>
      </c>
      <c r="J15" s="103" t="s">
        <v>80</v>
      </c>
      <c r="K15" s="103"/>
      <c r="L15" s="103"/>
      <c r="M15" s="115"/>
      <c r="N15" s="115"/>
      <c r="O15" s="115"/>
      <c r="P15" s="115"/>
      <c r="Q15" s="115"/>
      <c r="R15" s="115"/>
      <c r="S15" s="115"/>
      <c r="T15" s="115"/>
      <c r="U15" s="115"/>
      <c r="AA15" s="115"/>
      <c r="AB15" s="115"/>
    </row>
    <row r="16" spans="1:28" x14ac:dyDescent="0.25">
      <c r="A16" t="s">
        <v>21</v>
      </c>
      <c r="B16" s="4">
        <v>0</v>
      </c>
      <c r="D16" s="6">
        <v>0.73251747184667493</v>
      </c>
      <c r="E16" s="6">
        <v>0.21376384777367474</v>
      </c>
      <c r="F16" s="6">
        <v>2.3964659566026794</v>
      </c>
      <c r="G16" s="1">
        <v>0.13871883297219764</v>
      </c>
      <c r="H16" cm="1">
        <f t="array" ref="H16">MMULT(D16:F16,$K$34:$K$36)</f>
        <v>5.1495009224798505</v>
      </c>
      <c r="I16" s="27">
        <f t="shared" si="0"/>
        <v>0</v>
      </c>
      <c r="J16" s="138" t="s">
        <v>91</v>
      </c>
      <c r="K16" s="139" t="s">
        <v>2</v>
      </c>
      <c r="L16" s="139" t="s">
        <v>3</v>
      </c>
      <c r="M16" s="137" t="s">
        <v>4</v>
      </c>
      <c r="N16" s="115"/>
      <c r="O16" s="115"/>
      <c r="P16" s="115"/>
      <c r="Q16" s="115"/>
      <c r="R16" s="115"/>
      <c r="S16" s="115"/>
      <c r="T16" s="115"/>
      <c r="U16" s="115"/>
      <c r="AA16" s="115"/>
      <c r="AB16" s="115"/>
    </row>
    <row r="17" spans="1:28" x14ac:dyDescent="0.25">
      <c r="A17" t="s">
        <v>22</v>
      </c>
      <c r="B17" s="4">
        <v>0</v>
      </c>
      <c r="D17" s="6">
        <v>0.77296670430616166</v>
      </c>
      <c r="E17" s="6">
        <v>0.15676747947630243</v>
      </c>
      <c r="F17" s="6">
        <v>0.45466475417340613</v>
      </c>
      <c r="G17" s="1">
        <v>2.0722067934202094E-2</v>
      </c>
      <c r="H17" cm="1">
        <f t="array" ref="H17">MMULT(D17:F17,$K$34:$K$36)</f>
        <v>4.4778235130536146</v>
      </c>
      <c r="I17" s="27">
        <f t="shared" si="0"/>
        <v>1</v>
      </c>
      <c r="J17" s="12" t="s">
        <v>81</v>
      </c>
      <c r="K17" s="12">
        <v>0.85786115187952394</v>
      </c>
      <c r="L17" s="12">
        <v>4.4615064491159345E-2</v>
      </c>
      <c r="M17" s="12">
        <v>1.4028595843379013</v>
      </c>
      <c r="N17" s="115"/>
      <c r="O17" s="115"/>
      <c r="P17" s="115"/>
      <c r="Q17" s="115"/>
      <c r="R17" s="115"/>
      <c r="S17" s="115"/>
      <c r="T17" s="115"/>
      <c r="U17" s="115"/>
      <c r="AA17" s="115"/>
      <c r="AB17" s="115"/>
    </row>
    <row r="18" spans="1:28" x14ac:dyDescent="0.25">
      <c r="A18" t="s">
        <v>23</v>
      </c>
      <c r="B18" s="4">
        <v>0</v>
      </c>
      <c r="D18" s="6">
        <v>1.1415692617572557</v>
      </c>
      <c r="E18" s="6">
        <v>0.30751304666280099</v>
      </c>
      <c r="F18" s="6">
        <v>2.0814233832819609</v>
      </c>
      <c r="G18" s="1">
        <v>0.18038270210882901</v>
      </c>
      <c r="H18" cm="1">
        <f t="array" ref="H18">MMULT(D18:F18,$K$34:$K$36)</f>
        <v>7.207210310468108</v>
      </c>
      <c r="I18" s="27">
        <f t="shared" si="0"/>
        <v>0</v>
      </c>
      <c r="J18" s="12" t="s">
        <v>82</v>
      </c>
      <c r="K18" s="12">
        <v>0.55818268379772329</v>
      </c>
      <c r="L18" s="12">
        <v>0.23542130802331612</v>
      </c>
      <c r="M18" s="12">
        <v>1.0681783501693776</v>
      </c>
      <c r="N18" s="115"/>
      <c r="O18" s="115"/>
      <c r="P18" s="115"/>
      <c r="Q18" s="115"/>
      <c r="R18" s="115"/>
      <c r="S18" s="115"/>
      <c r="T18" s="115"/>
      <c r="U18" s="115"/>
      <c r="AA18" s="115"/>
      <c r="AB18" s="115"/>
    </row>
    <row r="19" spans="1:28" x14ac:dyDescent="0.25">
      <c r="A19" t="s">
        <v>24</v>
      </c>
      <c r="B19" s="4">
        <v>0</v>
      </c>
      <c r="D19" s="6">
        <v>0.85783867915890988</v>
      </c>
      <c r="E19" s="6">
        <v>-0.37557298501541186</v>
      </c>
      <c r="F19" s="6">
        <v>2.6881618701742607</v>
      </c>
      <c r="G19" s="1">
        <v>3.1562242500076297E-2</v>
      </c>
      <c r="H19" cm="1">
        <f t="array" ref="H19">MMULT(D19:F19,$K$34:$K$36)</f>
        <v>7.1643179010512874</v>
      </c>
      <c r="I19" s="27">
        <f t="shared" si="0"/>
        <v>0</v>
      </c>
      <c r="J19" s="115"/>
      <c r="K19" s="115"/>
      <c r="L19" s="115"/>
      <c r="M19" s="115"/>
      <c r="N19" s="115"/>
      <c r="O19" s="115"/>
      <c r="P19" s="115"/>
      <c r="Q19" s="115"/>
      <c r="R19" s="115"/>
      <c r="S19" s="115"/>
      <c r="T19" s="115"/>
      <c r="U19" s="115"/>
      <c r="AA19" s="115"/>
      <c r="AB19" s="115"/>
    </row>
    <row r="20" spans="1:28" x14ac:dyDescent="0.25">
      <c r="A20" t="s">
        <v>25</v>
      </c>
      <c r="B20" s="4">
        <v>0</v>
      </c>
      <c r="D20" s="6">
        <v>1.0671712393566697</v>
      </c>
      <c r="E20" s="6">
        <v>2.0762352366710424E-2</v>
      </c>
      <c r="F20" s="6">
        <v>1.2341685232093265</v>
      </c>
      <c r="G20" s="1">
        <v>0.14608600115970335</v>
      </c>
      <c r="H20" cm="1">
        <f t="array" ref="H20">MMULT(D20:F20,$K$34:$K$36)</f>
        <v>6.8739767274916517</v>
      </c>
      <c r="I20" s="27">
        <f t="shared" si="0"/>
        <v>0</v>
      </c>
      <c r="J20" s="115"/>
      <c r="K20" s="115"/>
      <c r="L20" s="115"/>
      <c r="M20" s="115"/>
      <c r="N20" s="115"/>
      <c r="O20" s="115"/>
      <c r="P20" s="115"/>
      <c r="Q20" s="115"/>
      <c r="R20" s="115"/>
      <c r="S20" s="115"/>
      <c r="T20" s="115"/>
      <c r="U20" s="115"/>
      <c r="AA20" s="115"/>
      <c r="AB20" s="115"/>
    </row>
    <row r="21" spans="1:28" ht="57" x14ac:dyDescent="0.25">
      <c r="A21" t="s">
        <v>26</v>
      </c>
      <c r="B21" s="4">
        <v>0</v>
      </c>
      <c r="D21" s="6">
        <v>0.79184545426801356</v>
      </c>
      <c r="E21" s="6">
        <v>0.24658589434492018</v>
      </c>
      <c r="F21" s="6">
        <v>0.51738029114658046</v>
      </c>
      <c r="G21" s="1">
        <v>0.1228186895352031</v>
      </c>
      <c r="H21" cm="1">
        <f t="array" ref="H21">MMULT(D21:F21,$K$34:$K$36)</f>
        <v>4.449958397881689</v>
      </c>
      <c r="I21" s="27">
        <f t="shared" si="0"/>
        <v>1</v>
      </c>
      <c r="J21" s="135" t="s">
        <v>92</v>
      </c>
      <c r="K21" s="12">
        <f>_xlfn.VAR.S(D4:D25)</f>
        <v>2.7584049279711496E-2</v>
      </c>
      <c r="L21" s="12">
        <f>_xlfn.COVARIANCE.S(D4:D25,E4:E25)</f>
        <v>-8.4952275812885305E-3</v>
      </c>
      <c r="M21" s="12">
        <f>_xlfn.COVARIANCE.S(D4:D25,F4:F25)</f>
        <v>1.5297587773616703E-2</v>
      </c>
      <c r="N21" s="115"/>
      <c r="O21" s="132" t="s">
        <v>94</v>
      </c>
      <c r="P21" s="12">
        <f>$N$29*K21+$N$30*K25</f>
        <v>4.8936196355772628E-2</v>
      </c>
      <c r="Q21" s="12">
        <f t="shared" ref="Q21:R23" si="1">$N$29*L21+$N$30*L25</f>
        <v>-1.0072072410130514E-2</v>
      </c>
      <c r="R21" s="12">
        <f t="shared" si="1"/>
        <v>-1.3207136701908342E-2</v>
      </c>
      <c r="S21" s="115"/>
      <c r="T21" s="135" t="s">
        <v>95</v>
      </c>
      <c r="U21" s="12">
        <f>K17-K18</f>
        <v>0.29967846808180065</v>
      </c>
      <c r="AA21" s="115"/>
      <c r="AB21" s="115"/>
    </row>
    <row r="22" spans="1:28" x14ac:dyDescent="0.25">
      <c r="A22" t="s">
        <v>27</v>
      </c>
      <c r="B22" s="4">
        <v>0</v>
      </c>
      <c r="D22" s="6">
        <v>0.77864314706869708</v>
      </c>
      <c r="E22" s="6">
        <v>-2.3655507065034997E-2</v>
      </c>
      <c r="F22" s="6">
        <v>1.3432111575670644</v>
      </c>
      <c r="G22" s="1">
        <v>0.15815912350840786</v>
      </c>
      <c r="H22" cm="1">
        <f t="array" ref="H22">MMULT(D22:F22,$K$34:$K$36)</f>
        <v>5.3217391372122673</v>
      </c>
      <c r="I22" s="27">
        <f t="shared" si="0"/>
        <v>0</v>
      </c>
      <c r="J22" s="115"/>
      <c r="K22" s="12">
        <f>_xlfn.COVARIANCE.S(D4:D25,E4:E25)</f>
        <v>-8.4952275812885305E-3</v>
      </c>
      <c r="L22" s="12">
        <f>_xlfn.VAR.S(E4:E25)</f>
        <v>7.6421275461481183E-2</v>
      </c>
      <c r="M22" s="12">
        <f>_xlfn.COVARIANCE.S(E4:E25,F4:F25)</f>
        <v>-1.9597740216624464E-2</v>
      </c>
      <c r="N22" s="115"/>
      <c r="O22" s="115"/>
      <c r="P22" s="12">
        <f>$N$29*K22+$N$30*K26</f>
        <v>-1.0072072410130514E-2</v>
      </c>
      <c r="Q22" s="12">
        <f t="shared" si="1"/>
        <v>6.6201115823725509E-2</v>
      </c>
      <c r="R22" s="12">
        <f t="shared" si="1"/>
        <v>-9.8778186284347053E-3</v>
      </c>
      <c r="S22" s="115"/>
      <c r="T22" s="115"/>
      <c r="U22" s="12">
        <f>L17-L18</f>
        <v>-0.19080624353215678</v>
      </c>
      <c r="AA22" s="115"/>
      <c r="AB22" s="115"/>
    </row>
    <row r="23" spans="1:28" x14ac:dyDescent="0.25">
      <c r="A23" t="s">
        <v>28</v>
      </c>
      <c r="B23" s="4">
        <v>0</v>
      </c>
      <c r="D23" s="6">
        <v>1.1790887173070468</v>
      </c>
      <c r="E23" s="6">
        <v>-0.12956205938901943</v>
      </c>
      <c r="F23" s="6">
        <v>1.9226660969878233E-2</v>
      </c>
      <c r="G23" s="1">
        <v>7.6137577440717807E-2</v>
      </c>
      <c r="H23" cm="1">
        <f t="array" ref="H23">MMULT(D23:F23,$K$34:$K$36)</f>
        <v>7.1813771169628824</v>
      </c>
      <c r="I23" s="27">
        <f t="shared" si="0"/>
        <v>0</v>
      </c>
      <c r="J23" s="115"/>
      <c r="K23" s="12">
        <f>_xlfn.COVARIANCE.S(D4:D25,F4:F25)</f>
        <v>1.5297587773616703E-2</v>
      </c>
      <c r="L23" s="12">
        <f>_xlfn.COVARIANCE.S(E4:E25,F4:F25)</f>
        <v>-1.9597740216624464E-2</v>
      </c>
      <c r="M23" s="12">
        <f>_xlfn.VAR.S(F4:F25)</f>
        <v>0.84825310249007824</v>
      </c>
      <c r="N23" s="115"/>
      <c r="O23" s="115"/>
      <c r="P23" s="12">
        <f>$N$29*K23+$N$30*K27</f>
        <v>-1.3207136701908342E-2</v>
      </c>
      <c r="Q23" s="12">
        <f t="shared" si="1"/>
        <v>-9.8778186284347053E-3</v>
      </c>
      <c r="R23" s="12">
        <f t="shared" si="1"/>
        <v>0.75025520207623186</v>
      </c>
      <c r="S23" s="115"/>
      <c r="T23" s="115"/>
      <c r="U23" s="12">
        <f>M17-M18</f>
        <v>0.33468123416852369</v>
      </c>
      <c r="AA23" s="115"/>
      <c r="AB23" s="115"/>
    </row>
    <row r="24" spans="1:28" x14ac:dyDescent="0.25">
      <c r="A24" t="s">
        <v>29</v>
      </c>
      <c r="B24" s="4">
        <v>0</v>
      </c>
      <c r="D24" s="6">
        <v>0.86487014374217952</v>
      </c>
      <c r="E24" s="6">
        <v>-0.27702261421552171</v>
      </c>
      <c r="F24" s="6">
        <v>1.4905240028077027</v>
      </c>
      <c r="G24" s="1">
        <v>0.18840907010101626</v>
      </c>
      <c r="H24" cm="1">
        <f t="array" ref="H24">MMULT(D24:F24,$K$34:$K$36)</f>
        <v>6.3893908915781648</v>
      </c>
      <c r="I24" s="27">
        <f t="shared" si="0"/>
        <v>0</v>
      </c>
      <c r="J24" s="115"/>
      <c r="K24" s="115"/>
      <c r="L24" s="115"/>
      <c r="M24" s="115"/>
      <c r="N24" s="115"/>
      <c r="O24" s="115"/>
      <c r="P24" s="115"/>
      <c r="Q24" s="115"/>
      <c r="R24" s="115"/>
      <c r="S24" s="115"/>
      <c r="T24" s="115"/>
      <c r="U24" s="115"/>
      <c r="AA24" s="115"/>
      <c r="AB24" s="115"/>
    </row>
    <row r="25" spans="1:28" ht="38" x14ac:dyDescent="0.25">
      <c r="A25" s="5" t="s">
        <v>30</v>
      </c>
      <c r="B25" s="14">
        <v>0</v>
      </c>
      <c r="C25" s="5"/>
      <c r="D25" s="8">
        <v>0.73736991485335857</v>
      </c>
      <c r="E25" s="8">
        <v>-0.29392498550370805</v>
      </c>
      <c r="F25" s="8">
        <v>0.19986571855830559</v>
      </c>
      <c r="G25" s="7">
        <v>0.13845637379070405</v>
      </c>
      <c r="H25" cm="1">
        <f t="array" ref="H25">MMULT(D25:F25,$K$34:$K$36)</f>
        <v>4.9962878782033995</v>
      </c>
      <c r="I25" s="27">
        <f t="shared" si="0"/>
        <v>0</v>
      </c>
      <c r="J25" s="134" t="s">
        <v>93</v>
      </c>
      <c r="K25" s="12">
        <f>_xlfn.VAR.S(D26:D35)</f>
        <v>9.5910919923107116E-2</v>
      </c>
      <c r="L25" s="12">
        <f>_xlfn.COVARIANCE.S(D26:D35,E26:E35)</f>
        <v>-1.3541131033582877E-2</v>
      </c>
      <c r="M25" s="12">
        <f>_xlfn.COVARIANCE.S(D26:D35,F26:F35)</f>
        <v>-7.5917530548063439E-2</v>
      </c>
      <c r="N25" s="115"/>
      <c r="O25" s="133" t="s">
        <v>89</v>
      </c>
      <c r="P25" s="12" cm="1">
        <f t="array" ref="P25:R27">MINVERSE(P21:R23)</f>
        <v>21.224746609801663</v>
      </c>
      <c r="Q25" s="12">
        <v>3.2914232237384184</v>
      </c>
      <c r="R25" s="12">
        <v>0.41696506829516938</v>
      </c>
      <c r="S25" s="115"/>
      <c r="T25" s="115"/>
      <c r="U25" s="115"/>
      <c r="AA25" s="115"/>
      <c r="AB25" s="115"/>
    </row>
    <row r="26" spans="1:28" x14ac:dyDescent="0.25">
      <c r="A26" t="s">
        <v>31</v>
      </c>
      <c r="B26" s="4">
        <v>1</v>
      </c>
      <c r="D26" s="6">
        <v>0.3458235419782098</v>
      </c>
      <c r="E26" s="6">
        <v>0.43168431653798017</v>
      </c>
      <c r="F26" s="6">
        <v>0.95333719901120029</v>
      </c>
      <c r="G26" s="1">
        <v>7.1395001068147834E-2</v>
      </c>
      <c r="H26" cm="1">
        <f t="array" ref="H26">MMULT(D26:F26,$K$34:$K$36)</f>
        <v>1.7057901051733753</v>
      </c>
      <c r="I26" s="27">
        <f t="shared" si="0"/>
        <v>1</v>
      </c>
      <c r="J26" s="115"/>
      <c r="K26" s="12">
        <f>_xlfn.COVARIANCE.S(D26:D35,E26:E35)</f>
        <v>-1.3541131033582877E-2</v>
      </c>
      <c r="L26" s="12">
        <f>_xlfn.VAR.S(E26:E35)</f>
        <v>4.3716764620663019E-2</v>
      </c>
      <c r="M26" s="12">
        <f>_xlfn.COVARIANCE.S(E26:E35,F26:F35)</f>
        <v>1.1506008865582763E-2</v>
      </c>
      <c r="N26" s="115"/>
      <c r="O26" s="115"/>
      <c r="P26" s="12">
        <v>3.2914232237384184</v>
      </c>
      <c r="Q26" s="12">
        <v>15.645635198651084</v>
      </c>
      <c r="R26" s="12">
        <v>0.26393022365016361</v>
      </c>
      <c r="S26" s="115"/>
      <c r="T26" s="115"/>
      <c r="U26" s="115"/>
      <c r="AA26" s="115"/>
      <c r="AB26" s="115"/>
    </row>
    <row r="27" spans="1:28" x14ac:dyDescent="0.25">
      <c r="A27" t="s">
        <v>32</v>
      </c>
      <c r="B27" s="4">
        <v>1</v>
      </c>
      <c r="D27" s="6">
        <v>0.38149204992828151</v>
      </c>
      <c r="E27" s="6">
        <v>0.50246589556566046</v>
      </c>
      <c r="F27" s="6">
        <v>1.8323313089388715</v>
      </c>
      <c r="G27" s="1">
        <v>9.23429059724723E-2</v>
      </c>
      <c r="H27" cm="1">
        <f t="array" ref="H27">MMULT(D27:F27,$K$34:$K$36)</f>
        <v>2.240867238944706</v>
      </c>
      <c r="I27" s="27">
        <f t="shared" si="0"/>
        <v>1</v>
      </c>
      <c r="J27" s="115"/>
      <c r="K27" s="12">
        <f>_xlfn.COVARIANCE.S(D26:D35,F26:F35)</f>
        <v>-7.5917530548063439E-2</v>
      </c>
      <c r="L27" s="12">
        <f>_xlfn.COVARIANCE.S(E26:E35,F26:F35)</f>
        <v>1.1506008865582763E-2</v>
      </c>
      <c r="M27" s="12">
        <f>_xlfn.VAR.S(F26:F35)</f>
        <v>0.53465982116576982</v>
      </c>
      <c r="N27" s="115"/>
      <c r="O27" s="115"/>
      <c r="P27" s="12">
        <v>0.41696506829516938</v>
      </c>
      <c r="Q27" s="12">
        <v>0.26393022365016355</v>
      </c>
      <c r="R27" s="12">
        <v>1.3436947411318862</v>
      </c>
      <c r="S27" s="115"/>
      <c r="T27" s="115"/>
      <c r="U27" s="115"/>
      <c r="AA27" s="115"/>
      <c r="AB27" s="115"/>
    </row>
    <row r="28" spans="1:28" x14ac:dyDescent="0.25">
      <c r="A28" t="s">
        <v>33</v>
      </c>
      <c r="B28" s="4">
        <v>1</v>
      </c>
      <c r="D28" s="6">
        <v>1.2</v>
      </c>
      <c r="E28" s="6">
        <v>0.37024140140995515</v>
      </c>
      <c r="F28" s="6">
        <v>0.18781090731528671</v>
      </c>
      <c r="G28" s="1">
        <v>0.16304818872646262</v>
      </c>
      <c r="H28" cm="1">
        <f t="array" ref="H28">MMULT(D28:F28,$K$34:$K$36)</f>
        <v>6.4376440654838589</v>
      </c>
      <c r="I28" s="27">
        <f t="shared" si="0"/>
        <v>0</v>
      </c>
      <c r="J28" s="26"/>
      <c r="K28" s="119"/>
      <c r="L28" s="115"/>
      <c r="M28" s="26"/>
      <c r="N28" s="119"/>
      <c r="O28" s="115"/>
      <c r="P28" s="115"/>
      <c r="Q28" s="115"/>
      <c r="R28" s="115"/>
      <c r="S28" s="115"/>
      <c r="T28" s="115"/>
      <c r="U28" s="115"/>
      <c r="AA28" s="115"/>
      <c r="AB28" s="115"/>
    </row>
    <row r="29" spans="1:28" x14ac:dyDescent="0.25">
      <c r="A29" t="s">
        <v>34</v>
      </c>
      <c r="B29" s="4">
        <v>1</v>
      </c>
      <c r="D29" s="6">
        <v>0.65091097750785853</v>
      </c>
      <c r="E29" s="6">
        <v>0.21678518021179843</v>
      </c>
      <c r="F29" s="6">
        <v>1.6979888302255317</v>
      </c>
      <c r="G29" s="1">
        <v>7.1687978759117407E-2</v>
      </c>
      <c r="H29" cm="1">
        <f t="array" ref="H29">MMULT(D29:F29,$K$34:$K$36)</f>
        <v>4.2983095283388302</v>
      </c>
      <c r="I29" s="27">
        <f t="shared" si="0"/>
        <v>1</v>
      </c>
      <c r="J29" s="31" t="s">
        <v>96</v>
      </c>
      <c r="K29" s="12">
        <f>K30+K31</f>
        <v>32</v>
      </c>
      <c r="L29" s="115"/>
      <c r="M29" s="31" t="s">
        <v>97</v>
      </c>
      <c r="N29" s="36">
        <f>K30/K29</f>
        <v>0.6875</v>
      </c>
      <c r="O29" s="115"/>
      <c r="P29" s="115"/>
      <c r="Q29" s="115"/>
      <c r="R29" s="115"/>
      <c r="S29" s="115"/>
      <c r="T29" s="115"/>
      <c r="U29" s="115"/>
      <c r="AA29" s="115"/>
      <c r="AB29" s="115"/>
    </row>
    <row r="30" spans="1:28" x14ac:dyDescent="0.25">
      <c r="A30" t="s">
        <v>35</v>
      </c>
      <c r="B30" s="4">
        <v>1</v>
      </c>
      <c r="D30" s="6">
        <v>0.75220954008606222</v>
      </c>
      <c r="E30" s="6">
        <v>0.10689107943968013</v>
      </c>
      <c r="F30" s="6">
        <v>1.7760551774651325</v>
      </c>
      <c r="G30" s="1">
        <v>0.11933347575304423</v>
      </c>
      <c r="H30" cm="1">
        <f t="array" ref="H30">MMULT(D30:F30,$K$34:$K$36)</f>
        <v>5.1440399161299455</v>
      </c>
      <c r="I30" s="27">
        <f t="shared" si="0"/>
        <v>0</v>
      </c>
      <c r="J30" s="31" t="s">
        <v>81</v>
      </c>
      <c r="K30" s="12">
        <v>22</v>
      </c>
      <c r="L30" s="115"/>
      <c r="M30" s="31" t="s">
        <v>98</v>
      </c>
      <c r="N30" s="36">
        <f>K31/K29</f>
        <v>0.3125</v>
      </c>
      <c r="O30" s="115"/>
      <c r="P30" s="115"/>
      <c r="Q30" s="115"/>
      <c r="R30" s="115"/>
      <c r="S30" s="115"/>
      <c r="T30" s="115"/>
      <c r="U30" s="115"/>
      <c r="AA30" s="115"/>
      <c r="AB30" s="115"/>
    </row>
    <row r="31" spans="1:28" x14ac:dyDescent="0.25">
      <c r="A31" t="s">
        <v>36</v>
      </c>
      <c r="B31" s="4">
        <v>1</v>
      </c>
      <c r="D31" s="6">
        <v>0.26</v>
      </c>
      <c r="E31" s="6">
        <v>0.25894650105288858</v>
      </c>
      <c r="F31" s="6">
        <v>1.6995757927182837</v>
      </c>
      <c r="G31" s="1">
        <v>0.14818567461165197</v>
      </c>
      <c r="H31" cm="1">
        <f t="array" ref="H31">MMULT(D31:F31,$K$34:$K$36)</f>
        <v>1.923110399128211</v>
      </c>
      <c r="I31" s="27">
        <f t="shared" si="0"/>
        <v>1</v>
      </c>
      <c r="J31" s="31" t="s">
        <v>82</v>
      </c>
      <c r="K31" s="12">
        <v>10</v>
      </c>
      <c r="L31" s="115"/>
      <c r="M31" s="115"/>
      <c r="N31" s="115"/>
      <c r="O31" s="115"/>
      <c r="P31" s="115"/>
      <c r="Q31" s="115"/>
      <c r="R31" s="115"/>
      <c r="S31" s="115"/>
      <c r="T31" s="115"/>
      <c r="U31" s="115"/>
      <c r="AA31" s="115"/>
      <c r="AB31" s="115"/>
    </row>
    <row r="32" spans="1:28" x14ac:dyDescent="0.25">
      <c r="A32" t="s">
        <v>37</v>
      </c>
      <c r="B32" s="4">
        <v>1</v>
      </c>
      <c r="D32" s="6">
        <v>0.80827204199346903</v>
      </c>
      <c r="E32" s="6">
        <v>0.15061799981688889</v>
      </c>
      <c r="F32" s="6">
        <v>0.50581377605517741</v>
      </c>
      <c r="G32" s="1">
        <v>0.17882839442121601</v>
      </c>
      <c r="H32" cm="1">
        <f t="array" ref="H32">MMULT(D32:F32,$K$34:$K$36)</f>
        <v>4.7237076991342288</v>
      </c>
      <c r="I32" s="27">
        <f t="shared" si="0"/>
        <v>0</v>
      </c>
      <c r="J32" s="115"/>
      <c r="K32" s="115"/>
      <c r="L32" s="115"/>
      <c r="M32" s="115"/>
      <c r="N32" s="115"/>
      <c r="O32" s="115"/>
      <c r="P32" s="115"/>
      <c r="Q32" s="115"/>
      <c r="R32" s="115"/>
      <c r="S32" s="115"/>
      <c r="T32" s="115"/>
      <c r="U32" s="115"/>
      <c r="AA32" s="115"/>
      <c r="AB32" s="115"/>
    </row>
    <row r="33" spans="1:28" x14ac:dyDescent="0.25">
      <c r="A33" t="s">
        <v>38</v>
      </c>
      <c r="B33" s="4">
        <v>1</v>
      </c>
      <c r="D33" s="6">
        <v>0.2</v>
      </c>
      <c r="E33" s="6">
        <v>0.43720511490218811</v>
      </c>
      <c r="F33" s="6">
        <v>0.20715964232306894</v>
      </c>
      <c r="G33" s="1">
        <v>0.117590868861964</v>
      </c>
      <c r="H33" cm="1">
        <f t="array" ref="H33">MMULT(D33:F33,$K$34:$K$36)</f>
        <v>0.44772309785541381</v>
      </c>
      <c r="I33" s="27">
        <f t="shared" si="0"/>
        <v>1</v>
      </c>
      <c r="J33" s="115"/>
      <c r="K33" s="115"/>
      <c r="L33" s="115"/>
      <c r="M33" s="115"/>
      <c r="N33" s="115"/>
      <c r="O33" s="115"/>
      <c r="P33" s="115"/>
      <c r="Q33" s="115"/>
      <c r="R33" s="115"/>
      <c r="S33" s="115"/>
      <c r="T33" s="115"/>
      <c r="U33" s="115"/>
      <c r="AA33" s="115"/>
      <c r="AB33" s="115"/>
    </row>
    <row r="34" spans="1:28" ht="38" x14ac:dyDescent="0.25">
      <c r="A34" t="s">
        <v>39</v>
      </c>
      <c r="B34" s="4">
        <v>1</v>
      </c>
      <c r="D34" s="6">
        <v>0.63311868648335223</v>
      </c>
      <c r="E34" s="6">
        <v>-0.17255470442823573</v>
      </c>
      <c r="F34" s="6">
        <v>0.19104586931974243</v>
      </c>
      <c r="G34" s="1">
        <v>0.14225287636951811</v>
      </c>
      <c r="H34" cm="1">
        <f t="array" ref="H34">MMULT(D34:F34,$K$34:$K$36)</f>
        <v>4.147599170289145</v>
      </c>
      <c r="I34" s="27">
        <f t="shared" si="0"/>
        <v>1</v>
      </c>
      <c r="J34" s="135" t="s">
        <v>99</v>
      </c>
      <c r="K34" s="12" cm="1">
        <f t="array" ref="K34:K36">MMULT(_xlfn.ANCHORARRAY(P25),U21:U23)</f>
        <v>5.8721258319159153</v>
      </c>
      <c r="L34" s="115"/>
      <c r="M34" s="115"/>
      <c r="N34" s="115"/>
      <c r="O34" s="115"/>
      <c r="P34" s="115"/>
      <c r="Q34" s="115"/>
      <c r="R34" s="115"/>
      <c r="S34" s="115"/>
      <c r="T34" s="115"/>
      <c r="U34" s="115"/>
      <c r="AA34" s="115"/>
      <c r="AB34" s="115"/>
    </row>
    <row r="35" spans="1:28" x14ac:dyDescent="0.25">
      <c r="A35" t="s">
        <v>40</v>
      </c>
      <c r="B35" s="4">
        <v>1</v>
      </c>
      <c r="D35" s="6">
        <v>0.35</v>
      </c>
      <c r="E35" s="6">
        <v>5.1930295724356812E-2</v>
      </c>
      <c r="F35" s="6">
        <v>1.630664998321482</v>
      </c>
      <c r="G35" s="1">
        <v>4.6345408490249339E-2</v>
      </c>
      <c r="H35" cm="1">
        <f t="array" ref="H35">MMULT(D35:F35,$K$34:$K$36)</f>
        <v>2.8109932181664599</v>
      </c>
      <c r="I35" s="27">
        <f t="shared" si="0"/>
        <v>1</v>
      </c>
      <c r="J35" s="115"/>
      <c r="K35" s="12">
        <v>-1.9105837174447</v>
      </c>
      <c r="L35" s="115"/>
      <c r="M35" s="115"/>
      <c r="N35" s="115"/>
      <c r="O35" s="115"/>
      <c r="P35" s="115"/>
      <c r="Q35" s="115"/>
      <c r="R35" s="115"/>
      <c r="S35" s="115"/>
      <c r="T35" s="115"/>
      <c r="U35" s="115"/>
      <c r="AA35" s="115"/>
      <c r="AB35" s="115"/>
    </row>
    <row r="36" spans="1:28" x14ac:dyDescent="0.25">
      <c r="J36" s="115"/>
      <c r="K36" s="12">
        <v>0.52430533268880475</v>
      </c>
      <c r="L36" s="115"/>
      <c r="M36" s="115"/>
      <c r="N36" s="115"/>
      <c r="O36" s="115"/>
      <c r="P36" s="115"/>
      <c r="Q36" s="115"/>
      <c r="R36" s="115"/>
      <c r="S36" s="115"/>
      <c r="T36" s="115"/>
      <c r="U36" s="115"/>
      <c r="AA36" s="115"/>
      <c r="AB36" s="115"/>
    </row>
    <row r="37" spans="1:28" x14ac:dyDescent="0.25">
      <c r="D37" s="1"/>
      <c r="E37" s="1"/>
      <c r="F37" s="1"/>
      <c r="G37" s="1"/>
      <c r="J37" s="115"/>
      <c r="K37" s="121"/>
      <c r="L37" s="115"/>
      <c r="M37" s="115"/>
      <c r="N37" s="115"/>
      <c r="O37" s="115"/>
      <c r="P37" s="115"/>
      <c r="Q37" s="115"/>
      <c r="R37" s="115"/>
      <c r="S37" s="115"/>
      <c r="T37" s="115"/>
      <c r="U37" s="115"/>
      <c r="AA37" s="115"/>
      <c r="AB37" s="115"/>
    </row>
    <row r="38" spans="1:28" ht="19" x14ac:dyDescent="0.25">
      <c r="D38" s="1"/>
      <c r="E38" s="1"/>
      <c r="F38" s="1"/>
      <c r="G38" s="1"/>
      <c r="J38" s="136" t="s">
        <v>100</v>
      </c>
      <c r="K38" s="136"/>
      <c r="L38" s="136"/>
      <c r="M38" s="115"/>
      <c r="N38" s="115"/>
      <c r="O38" s="115"/>
      <c r="P38" s="115"/>
      <c r="Q38" s="115"/>
      <c r="R38" s="115"/>
      <c r="S38" s="115"/>
      <c r="T38" s="115"/>
      <c r="U38" s="115"/>
      <c r="AA38" s="115"/>
      <c r="AB38" s="115"/>
    </row>
    <row r="39" spans="1:28" ht="38" x14ac:dyDescent="0.25">
      <c r="J39" s="46" t="s">
        <v>1</v>
      </c>
      <c r="K39" s="47" t="s">
        <v>56</v>
      </c>
      <c r="L39" s="149" t="s">
        <v>101</v>
      </c>
      <c r="M39" s="115"/>
      <c r="N39" s="115"/>
      <c r="O39" s="115"/>
      <c r="P39" s="56" t="s">
        <v>106</v>
      </c>
      <c r="Q39" s="57" t="s">
        <v>107</v>
      </c>
      <c r="R39" s="58" t="s">
        <v>101</v>
      </c>
      <c r="S39" s="57" t="s">
        <v>108</v>
      </c>
      <c r="T39" s="57" t="s">
        <v>109</v>
      </c>
      <c r="U39" s="59" t="s">
        <v>110</v>
      </c>
      <c r="AA39" s="115"/>
      <c r="AB39" s="115"/>
    </row>
    <row r="40" spans="1:28" x14ac:dyDescent="0.25">
      <c r="J40" s="44">
        <v>1</v>
      </c>
      <c r="K40" s="61" cm="1">
        <f t="array" ref="K40">MMULT(D4:F4,$K$34:$K$36)</f>
        <v>6.2793090973139183</v>
      </c>
      <c r="L40" s="45">
        <f>IF(K40&lt;$N$44,1,0)</f>
        <v>0</v>
      </c>
      <c r="M40" s="145" t="s">
        <v>102</v>
      </c>
      <c r="N40" s="140"/>
      <c r="O40" s="115"/>
      <c r="P40" s="50">
        <v>0</v>
      </c>
      <c r="Q40" s="122" t="s">
        <v>111</v>
      </c>
      <c r="R40" s="120">
        <v>0</v>
      </c>
      <c r="S40" s="122" t="s">
        <v>111</v>
      </c>
      <c r="T40" s="122" t="s">
        <v>112</v>
      </c>
      <c r="U40" s="53" t="s">
        <v>113</v>
      </c>
      <c r="V40" s="123"/>
      <c r="AA40" s="115"/>
      <c r="AB40" s="115"/>
    </row>
    <row r="41" spans="1:28" ht="38" x14ac:dyDescent="0.25">
      <c r="J41" s="37">
        <f>J40+1</f>
        <v>2</v>
      </c>
      <c r="K41" s="62" cm="1">
        <f t="array" ref="K41">MMULT(D5:F5,$K$34:$K$36)</f>
        <v>8.4497022225237259</v>
      </c>
      <c r="L41" s="38">
        <f t="shared" ref="L41:L71" si="2">IF(K41&lt;$N$44,1,0)</f>
        <v>0</v>
      </c>
      <c r="M41" s="146" t="s">
        <v>103</v>
      </c>
      <c r="N41" s="36">
        <f>AVERAGE(K40:K61)</f>
        <v>5.6877545754613017</v>
      </c>
      <c r="O41" s="115"/>
      <c r="P41" s="50">
        <v>0</v>
      </c>
      <c r="Q41" s="122" t="s">
        <v>111</v>
      </c>
      <c r="R41" s="120">
        <v>0</v>
      </c>
      <c r="S41" s="122" t="s">
        <v>111</v>
      </c>
      <c r="T41" s="122" t="s">
        <v>112</v>
      </c>
      <c r="U41" s="53" t="s">
        <v>113</v>
      </c>
      <c r="V41" s="123"/>
      <c r="AA41" s="115"/>
      <c r="AB41" s="115"/>
    </row>
    <row r="42" spans="1:28" ht="35" customHeight="1" x14ac:dyDescent="0.25">
      <c r="J42" s="37">
        <f t="shared" ref="J42:J71" si="3">J41+1</f>
        <v>3</v>
      </c>
      <c r="K42" s="62" cm="1">
        <f t="array" ref="K42">MMULT(D6:F6,$K$34:$K$36)</f>
        <v>5.9438982324088565</v>
      </c>
      <c r="L42" s="38">
        <f t="shared" si="2"/>
        <v>0</v>
      </c>
      <c r="M42" s="147" t="s">
        <v>104</v>
      </c>
      <c r="N42" s="141">
        <f>AVERAGE(K62:K71)</f>
        <v>3.3879784438644172</v>
      </c>
      <c r="O42" s="115"/>
      <c r="P42" s="50">
        <v>0</v>
      </c>
      <c r="Q42" s="122" t="s">
        <v>111</v>
      </c>
      <c r="R42" s="120">
        <v>0</v>
      </c>
      <c r="S42" s="122" t="s">
        <v>111</v>
      </c>
      <c r="T42" s="122" t="s">
        <v>112</v>
      </c>
      <c r="U42" s="53" t="s">
        <v>113</v>
      </c>
      <c r="V42" s="123"/>
      <c r="AA42" s="115"/>
      <c r="AB42" s="115"/>
    </row>
    <row r="43" spans="1:28" x14ac:dyDescent="0.25">
      <c r="J43" s="37">
        <f t="shared" si="3"/>
        <v>4</v>
      </c>
      <c r="K43" s="62" cm="1">
        <f t="array" ref="K43">MMULT(D7:F7,$K$34:$K$36)</f>
        <v>4.0660783924807378</v>
      </c>
      <c r="L43" s="38">
        <f t="shared" si="2"/>
        <v>1</v>
      </c>
      <c r="M43" s="148"/>
      <c r="N43" s="143"/>
      <c r="O43" s="115"/>
      <c r="P43" s="50">
        <v>0</v>
      </c>
      <c r="Q43" s="122" t="s">
        <v>111</v>
      </c>
      <c r="R43" s="120">
        <v>1</v>
      </c>
      <c r="S43" s="122" t="s">
        <v>114</v>
      </c>
      <c r="T43" s="122" t="s">
        <v>115</v>
      </c>
      <c r="U43" s="53" t="s">
        <v>116</v>
      </c>
      <c r="V43" s="123"/>
      <c r="AA43" s="115"/>
      <c r="AB43" s="115"/>
    </row>
    <row r="44" spans="1:28" x14ac:dyDescent="0.25">
      <c r="J44" s="37">
        <f t="shared" si="3"/>
        <v>5</v>
      </c>
      <c r="K44" s="62" cm="1">
        <f t="array" ref="K44">MMULT(D8:F8,$K$34:$K$36)</f>
        <v>5.9852996160789083</v>
      </c>
      <c r="L44" s="38">
        <f t="shared" si="2"/>
        <v>0</v>
      </c>
      <c r="M44" s="43" t="s">
        <v>105</v>
      </c>
      <c r="N44" s="142">
        <f>(N41+N42)/2</f>
        <v>4.5378665096628596</v>
      </c>
      <c r="O44" s="115"/>
      <c r="P44" s="50">
        <v>0</v>
      </c>
      <c r="Q44" s="122" t="s">
        <v>111</v>
      </c>
      <c r="R44" s="120">
        <v>0</v>
      </c>
      <c r="S44" s="122" t="s">
        <v>111</v>
      </c>
      <c r="T44" s="122" t="s">
        <v>112</v>
      </c>
      <c r="U44" s="53" t="s">
        <v>113</v>
      </c>
      <c r="V44" s="123"/>
      <c r="AA44" s="115"/>
      <c r="AB44" s="115"/>
    </row>
    <row r="45" spans="1:28" x14ac:dyDescent="0.25">
      <c r="J45" s="37">
        <f t="shared" si="3"/>
        <v>6</v>
      </c>
      <c r="K45" s="62" cm="1">
        <f t="array" ref="K45">MMULT(D9:F9,$K$34:$K$36)</f>
        <v>5.3575116428077312</v>
      </c>
      <c r="L45" s="38">
        <f t="shared" si="2"/>
        <v>0</v>
      </c>
      <c r="M45" s="115"/>
      <c r="N45" s="115"/>
      <c r="O45" s="115"/>
      <c r="P45" s="50">
        <v>0</v>
      </c>
      <c r="Q45" s="122" t="s">
        <v>111</v>
      </c>
      <c r="R45" s="120">
        <v>0</v>
      </c>
      <c r="S45" s="122" t="s">
        <v>111</v>
      </c>
      <c r="T45" s="122" t="s">
        <v>112</v>
      </c>
      <c r="U45" s="53" t="s">
        <v>113</v>
      </c>
      <c r="V45" s="123"/>
      <c r="AA45" s="115"/>
      <c r="AB45" s="115"/>
    </row>
    <row r="46" spans="1:28" x14ac:dyDescent="0.25">
      <c r="J46" s="37">
        <f t="shared" si="3"/>
        <v>7</v>
      </c>
      <c r="K46" s="62" cm="1">
        <f t="array" ref="K46">MMULT(D10:F10,$K$34:$K$36)</f>
        <v>5.209341584544072</v>
      </c>
      <c r="L46" s="38">
        <f t="shared" si="2"/>
        <v>0</v>
      </c>
      <c r="M46" s="115"/>
      <c r="N46" s="115"/>
      <c r="O46" s="115"/>
      <c r="P46" s="50">
        <v>0</v>
      </c>
      <c r="Q46" s="122" t="s">
        <v>111</v>
      </c>
      <c r="R46" s="120">
        <v>0</v>
      </c>
      <c r="S46" s="122" t="s">
        <v>111</v>
      </c>
      <c r="T46" s="122" t="s">
        <v>112</v>
      </c>
      <c r="U46" s="53" t="s">
        <v>113</v>
      </c>
      <c r="V46" s="123"/>
      <c r="AA46" s="115"/>
      <c r="AB46" s="115"/>
    </row>
    <row r="47" spans="1:28" x14ac:dyDescent="0.25">
      <c r="J47" s="37">
        <f t="shared" si="3"/>
        <v>8</v>
      </c>
      <c r="K47" s="62" cm="1">
        <f t="array" ref="K47">MMULT(D11:F11,$K$34:$K$36)</f>
        <v>7.8002543459600187</v>
      </c>
      <c r="L47" s="38">
        <f t="shared" si="2"/>
        <v>0</v>
      </c>
      <c r="M47" s="115"/>
      <c r="N47" s="115"/>
      <c r="O47" s="115"/>
      <c r="P47" s="50">
        <v>0</v>
      </c>
      <c r="Q47" s="122" t="s">
        <v>111</v>
      </c>
      <c r="R47" s="120">
        <v>0</v>
      </c>
      <c r="S47" s="122" t="s">
        <v>111</v>
      </c>
      <c r="T47" s="122" t="s">
        <v>112</v>
      </c>
      <c r="U47" s="53" t="s">
        <v>113</v>
      </c>
      <c r="V47" s="123"/>
      <c r="AA47" s="115"/>
      <c r="AB47" s="115"/>
    </row>
    <row r="48" spans="1:28" x14ac:dyDescent="0.25">
      <c r="J48" s="37">
        <f t="shared" si="3"/>
        <v>9</v>
      </c>
      <c r="K48" s="62" cm="1">
        <f t="array" ref="K48">MMULT(D12:F12,$K$34:$K$36)</f>
        <v>4.8885067786733023</v>
      </c>
      <c r="L48" s="38">
        <f t="shared" si="2"/>
        <v>0</v>
      </c>
      <c r="M48" s="115"/>
      <c r="N48" s="115"/>
      <c r="O48" s="115"/>
      <c r="P48" s="50">
        <v>0</v>
      </c>
      <c r="Q48" s="122" t="s">
        <v>111</v>
      </c>
      <c r="R48" s="120">
        <v>0</v>
      </c>
      <c r="S48" s="122" t="s">
        <v>111</v>
      </c>
      <c r="T48" s="122" t="s">
        <v>112</v>
      </c>
      <c r="U48" s="53" t="s">
        <v>113</v>
      </c>
      <c r="V48" s="123"/>
      <c r="AA48" s="115"/>
      <c r="AB48" s="115"/>
    </row>
    <row r="49" spans="10:28" x14ac:dyDescent="0.25">
      <c r="J49" s="37">
        <f t="shared" si="3"/>
        <v>10</v>
      </c>
      <c r="K49" s="62" cm="1">
        <f t="array" ref="K49">MMULT(D13:F13,$K$34:$K$36)</f>
        <v>3.8873210994489504</v>
      </c>
      <c r="L49" s="38">
        <f t="shared" si="2"/>
        <v>1</v>
      </c>
      <c r="M49" s="115"/>
      <c r="N49" s="115"/>
      <c r="O49" s="115"/>
      <c r="P49" s="50">
        <v>0</v>
      </c>
      <c r="Q49" s="122" t="s">
        <v>111</v>
      </c>
      <c r="R49" s="120">
        <v>1</v>
      </c>
      <c r="S49" s="122" t="s">
        <v>114</v>
      </c>
      <c r="T49" s="122" t="s">
        <v>115</v>
      </c>
      <c r="U49" s="53" t="s">
        <v>116</v>
      </c>
      <c r="V49" s="123"/>
      <c r="AA49" s="115"/>
      <c r="AB49" s="115"/>
    </row>
    <row r="50" spans="10:28" x14ac:dyDescent="0.25">
      <c r="J50" s="37">
        <f t="shared" si="3"/>
        <v>11</v>
      </c>
      <c r="K50" s="62" cm="1">
        <f t="array" ref="K50">MMULT(D14:F14,$K$34:$K$36)</f>
        <v>4.1853697500349059</v>
      </c>
      <c r="L50" s="38">
        <f t="shared" si="2"/>
        <v>1</v>
      </c>
      <c r="M50" s="115"/>
      <c r="N50" s="115"/>
      <c r="O50" s="115"/>
      <c r="P50" s="50">
        <v>0</v>
      </c>
      <c r="Q50" s="122" t="s">
        <v>111</v>
      </c>
      <c r="R50" s="120">
        <v>1</v>
      </c>
      <c r="S50" s="122" t="s">
        <v>114</v>
      </c>
      <c r="T50" s="122" t="s">
        <v>115</v>
      </c>
      <c r="U50" s="53" t="s">
        <v>116</v>
      </c>
      <c r="V50" s="123"/>
      <c r="AA50" s="115"/>
      <c r="AB50" s="115"/>
    </row>
    <row r="51" spans="10:28" x14ac:dyDescent="0.25">
      <c r="J51" s="37">
        <f t="shared" si="3"/>
        <v>12</v>
      </c>
      <c r="K51" s="62" cm="1">
        <f t="array" ref="K51">MMULT(D15:F15,$K$34:$K$36)</f>
        <v>3.8664251014906066</v>
      </c>
      <c r="L51" s="38">
        <f t="shared" si="2"/>
        <v>1</v>
      </c>
      <c r="M51" s="115"/>
      <c r="N51" s="115"/>
      <c r="O51" s="115"/>
      <c r="P51" s="50">
        <v>0</v>
      </c>
      <c r="Q51" s="122" t="s">
        <v>111</v>
      </c>
      <c r="R51" s="120">
        <v>1</v>
      </c>
      <c r="S51" s="122" t="s">
        <v>114</v>
      </c>
      <c r="T51" s="122" t="s">
        <v>115</v>
      </c>
      <c r="U51" s="53" t="s">
        <v>116</v>
      </c>
      <c r="V51" s="123"/>
      <c r="AA51" s="115"/>
      <c r="AB51" s="115"/>
    </row>
    <row r="52" spans="10:28" x14ac:dyDescent="0.25">
      <c r="J52" s="37">
        <f t="shared" si="3"/>
        <v>13</v>
      </c>
      <c r="K52" s="62" cm="1">
        <f t="array" ref="K52">MMULT(D16:F16,$K$34:$K$36)</f>
        <v>5.1495009224798505</v>
      </c>
      <c r="L52" s="38">
        <f t="shared" si="2"/>
        <v>0</v>
      </c>
      <c r="M52" s="115"/>
      <c r="N52" s="115"/>
      <c r="O52" s="115"/>
      <c r="P52" s="50">
        <v>0</v>
      </c>
      <c r="Q52" s="122" t="s">
        <v>111</v>
      </c>
      <c r="R52" s="120">
        <v>0</v>
      </c>
      <c r="S52" s="122" t="s">
        <v>111</v>
      </c>
      <c r="T52" s="122" t="s">
        <v>112</v>
      </c>
      <c r="U52" s="53" t="s">
        <v>113</v>
      </c>
      <c r="V52" s="123"/>
      <c r="AA52" s="115"/>
      <c r="AB52" s="115"/>
    </row>
    <row r="53" spans="10:28" x14ac:dyDescent="0.25">
      <c r="J53" s="37">
        <f t="shared" si="3"/>
        <v>14</v>
      </c>
      <c r="K53" s="62" cm="1">
        <f t="array" ref="K53">MMULT(D17:F17,$K$34:$K$36)</f>
        <v>4.4778235130536146</v>
      </c>
      <c r="L53" s="38">
        <f t="shared" si="2"/>
        <v>1</v>
      </c>
      <c r="M53" s="115"/>
      <c r="N53" s="115"/>
      <c r="O53" s="115"/>
      <c r="P53" s="50">
        <v>0</v>
      </c>
      <c r="Q53" s="122" t="s">
        <v>111</v>
      </c>
      <c r="R53" s="120">
        <v>1</v>
      </c>
      <c r="S53" s="122" t="s">
        <v>114</v>
      </c>
      <c r="T53" s="122" t="s">
        <v>115</v>
      </c>
      <c r="U53" s="53" t="s">
        <v>116</v>
      </c>
      <c r="V53" s="123"/>
      <c r="AA53" s="115"/>
      <c r="AB53" s="115"/>
    </row>
    <row r="54" spans="10:28" x14ac:dyDescent="0.25">
      <c r="J54" s="37">
        <f t="shared" si="3"/>
        <v>15</v>
      </c>
      <c r="K54" s="62" cm="1">
        <f t="array" ref="K54">MMULT(D18:F18,$K$34:$K$36)</f>
        <v>7.207210310468108</v>
      </c>
      <c r="L54" s="38">
        <f t="shared" si="2"/>
        <v>0</v>
      </c>
      <c r="M54" s="115"/>
      <c r="N54" s="115"/>
      <c r="O54" s="115"/>
      <c r="P54" s="50">
        <v>0</v>
      </c>
      <c r="Q54" s="122" t="s">
        <v>111</v>
      </c>
      <c r="R54" s="120">
        <v>0</v>
      </c>
      <c r="S54" s="122" t="s">
        <v>111</v>
      </c>
      <c r="T54" s="122" t="s">
        <v>112</v>
      </c>
      <c r="U54" s="53" t="s">
        <v>113</v>
      </c>
      <c r="V54" s="123"/>
      <c r="AA54" s="115"/>
      <c r="AB54" s="115"/>
    </row>
    <row r="55" spans="10:28" x14ac:dyDescent="0.25">
      <c r="J55" s="37">
        <f t="shared" si="3"/>
        <v>16</v>
      </c>
      <c r="K55" s="62" cm="1">
        <f t="array" ref="K55">MMULT(D19:F19,$K$34:$K$36)</f>
        <v>7.1643179010512874</v>
      </c>
      <c r="L55" s="38">
        <f t="shared" si="2"/>
        <v>0</v>
      </c>
      <c r="M55" s="115"/>
      <c r="N55" s="115"/>
      <c r="O55" s="115"/>
      <c r="P55" s="50">
        <v>0</v>
      </c>
      <c r="Q55" s="122" t="s">
        <v>111</v>
      </c>
      <c r="R55" s="120">
        <v>0</v>
      </c>
      <c r="S55" s="122" t="s">
        <v>111</v>
      </c>
      <c r="T55" s="122" t="s">
        <v>112</v>
      </c>
      <c r="U55" s="53" t="s">
        <v>113</v>
      </c>
      <c r="V55" s="123"/>
      <c r="AA55" s="115"/>
      <c r="AB55" s="115"/>
    </row>
    <row r="56" spans="10:28" x14ac:dyDescent="0.25">
      <c r="J56" s="37">
        <f t="shared" si="3"/>
        <v>17</v>
      </c>
      <c r="K56" s="62" cm="1">
        <f t="array" ref="K56">MMULT(D20:F20,$K$34:$K$36)</f>
        <v>6.8739767274916517</v>
      </c>
      <c r="L56" s="38">
        <f t="shared" si="2"/>
        <v>0</v>
      </c>
      <c r="M56" s="115"/>
      <c r="N56" s="115"/>
      <c r="O56" s="115"/>
      <c r="P56" s="50">
        <v>0</v>
      </c>
      <c r="Q56" s="122" t="s">
        <v>111</v>
      </c>
      <c r="R56" s="120">
        <v>0</v>
      </c>
      <c r="S56" s="122" t="s">
        <v>111</v>
      </c>
      <c r="T56" s="122" t="s">
        <v>112</v>
      </c>
      <c r="U56" s="53" t="s">
        <v>113</v>
      </c>
      <c r="V56" s="123"/>
      <c r="AA56" s="115"/>
      <c r="AB56" s="115"/>
    </row>
    <row r="57" spans="10:28" x14ac:dyDescent="0.25">
      <c r="J57" s="37">
        <f t="shared" si="3"/>
        <v>18</v>
      </c>
      <c r="K57" s="62" cm="1">
        <f t="array" ref="K57">MMULT(D21:F21,$K$34:$K$36)</f>
        <v>4.449958397881689</v>
      </c>
      <c r="L57" s="38">
        <f t="shared" si="2"/>
        <v>1</v>
      </c>
      <c r="M57" s="115"/>
      <c r="N57" s="115"/>
      <c r="O57" s="115"/>
      <c r="P57" s="50">
        <v>0</v>
      </c>
      <c r="Q57" s="122" t="s">
        <v>111</v>
      </c>
      <c r="R57" s="120">
        <v>1</v>
      </c>
      <c r="S57" s="122" t="s">
        <v>114</v>
      </c>
      <c r="T57" s="122" t="s">
        <v>115</v>
      </c>
      <c r="U57" s="53" t="s">
        <v>116</v>
      </c>
      <c r="V57" s="123"/>
      <c r="AA57" s="115"/>
      <c r="AB57" s="115"/>
    </row>
    <row r="58" spans="10:28" x14ac:dyDescent="0.25">
      <c r="J58" s="37">
        <f t="shared" si="3"/>
        <v>19</v>
      </c>
      <c r="K58" s="62" cm="1">
        <f t="array" ref="K58">MMULT(D22:F22,$K$34:$K$36)</f>
        <v>5.3217391372122673</v>
      </c>
      <c r="L58" s="38">
        <f t="shared" si="2"/>
        <v>0</v>
      </c>
      <c r="M58" s="115"/>
      <c r="N58" s="115"/>
      <c r="O58" s="115"/>
      <c r="P58" s="50">
        <v>0</v>
      </c>
      <c r="Q58" s="122" t="s">
        <v>111</v>
      </c>
      <c r="R58" s="120">
        <v>0</v>
      </c>
      <c r="S58" s="122" t="s">
        <v>111</v>
      </c>
      <c r="T58" s="122" t="s">
        <v>112</v>
      </c>
      <c r="U58" s="53" t="s">
        <v>113</v>
      </c>
      <c r="V58" s="123"/>
      <c r="AA58" s="115"/>
      <c r="AB58" s="115"/>
    </row>
    <row r="59" spans="10:28" x14ac:dyDescent="0.25">
      <c r="J59" s="37">
        <f t="shared" si="3"/>
        <v>20</v>
      </c>
      <c r="K59" s="62" cm="1">
        <f t="array" ref="K59">MMULT(D23:F23,$K$34:$K$36)</f>
        <v>7.1813771169628824</v>
      </c>
      <c r="L59" s="38">
        <f t="shared" si="2"/>
        <v>0</v>
      </c>
      <c r="M59" s="115"/>
      <c r="N59" s="115"/>
      <c r="O59" s="115"/>
      <c r="P59" s="50">
        <v>0</v>
      </c>
      <c r="Q59" s="122" t="s">
        <v>111</v>
      </c>
      <c r="R59" s="120">
        <v>0</v>
      </c>
      <c r="S59" s="122" t="s">
        <v>111</v>
      </c>
      <c r="T59" s="122" t="s">
        <v>112</v>
      </c>
      <c r="U59" s="53" t="s">
        <v>113</v>
      </c>
      <c r="V59" s="123"/>
      <c r="AA59" s="115"/>
      <c r="AB59" s="115"/>
    </row>
    <row r="60" spans="10:28" x14ac:dyDescent="0.25">
      <c r="J60" s="37">
        <f t="shared" si="3"/>
        <v>21</v>
      </c>
      <c r="K60" s="62" cm="1">
        <f t="array" ref="K60">MMULT(D24:F24,$K$34:$K$36)</f>
        <v>6.3893908915781648</v>
      </c>
      <c r="L60" s="38">
        <f t="shared" si="2"/>
        <v>0</v>
      </c>
      <c r="M60" s="115"/>
      <c r="N60" s="115"/>
      <c r="O60" s="115"/>
      <c r="P60" s="50">
        <v>0</v>
      </c>
      <c r="Q60" s="122" t="s">
        <v>111</v>
      </c>
      <c r="R60" s="120">
        <v>0</v>
      </c>
      <c r="S60" s="122" t="s">
        <v>111</v>
      </c>
      <c r="T60" s="122" t="s">
        <v>112</v>
      </c>
      <c r="U60" s="53" t="s">
        <v>113</v>
      </c>
      <c r="V60" s="123"/>
      <c r="AA60" s="115"/>
      <c r="AB60" s="115"/>
    </row>
    <row r="61" spans="10:28" x14ac:dyDescent="0.25">
      <c r="J61" s="37">
        <f t="shared" si="3"/>
        <v>22</v>
      </c>
      <c r="K61" s="62" cm="1">
        <f t="array" ref="K61">MMULT(D25:F25,$K$34:$K$36)</f>
        <v>4.9962878782033995</v>
      </c>
      <c r="L61" s="38">
        <f t="shared" si="2"/>
        <v>0</v>
      </c>
      <c r="M61" s="115"/>
      <c r="N61" s="115"/>
      <c r="O61" s="115"/>
      <c r="P61" s="50">
        <v>0</v>
      </c>
      <c r="Q61" s="122" t="s">
        <v>111</v>
      </c>
      <c r="R61" s="120">
        <v>0</v>
      </c>
      <c r="S61" s="122" t="s">
        <v>111</v>
      </c>
      <c r="T61" s="122" t="s">
        <v>112</v>
      </c>
      <c r="U61" s="53" t="s">
        <v>113</v>
      </c>
      <c r="V61" s="123"/>
      <c r="AA61" s="115"/>
      <c r="AB61" s="115"/>
    </row>
    <row r="62" spans="10:28" x14ac:dyDescent="0.25">
      <c r="J62" s="37">
        <f t="shared" si="3"/>
        <v>23</v>
      </c>
      <c r="K62" s="63" cm="1">
        <f t="array" ref="K62">MMULT(D26:F26,$K$34:$K$36)</f>
        <v>1.7057901051733753</v>
      </c>
      <c r="L62" s="38">
        <f t="shared" si="2"/>
        <v>1</v>
      </c>
      <c r="M62" s="115"/>
      <c r="N62" s="115"/>
      <c r="O62" s="115"/>
      <c r="P62" s="50">
        <v>1</v>
      </c>
      <c r="Q62" s="122" t="s">
        <v>114</v>
      </c>
      <c r="R62" s="120">
        <v>1</v>
      </c>
      <c r="S62" s="122" t="s">
        <v>114</v>
      </c>
      <c r="T62" s="122" t="s">
        <v>112</v>
      </c>
      <c r="U62" s="53" t="s">
        <v>113</v>
      </c>
      <c r="V62" s="123"/>
      <c r="AA62" s="115"/>
      <c r="AB62" s="115"/>
    </row>
    <row r="63" spans="10:28" x14ac:dyDescent="0.25">
      <c r="J63" s="37">
        <f t="shared" si="3"/>
        <v>24</v>
      </c>
      <c r="K63" s="63" cm="1">
        <f t="array" ref="K63">MMULT(D27:F27,$K$34:$K$36)</f>
        <v>2.240867238944706</v>
      </c>
      <c r="L63" s="38">
        <f t="shared" si="2"/>
        <v>1</v>
      </c>
      <c r="M63" s="115"/>
      <c r="N63" s="115"/>
      <c r="O63" s="115"/>
      <c r="P63" s="50">
        <v>1</v>
      </c>
      <c r="Q63" s="122" t="s">
        <v>114</v>
      </c>
      <c r="R63" s="120">
        <v>1</v>
      </c>
      <c r="S63" s="122" t="s">
        <v>114</v>
      </c>
      <c r="T63" s="122" t="s">
        <v>112</v>
      </c>
      <c r="U63" s="53" t="s">
        <v>113</v>
      </c>
      <c r="V63" s="123"/>
      <c r="AA63" s="115"/>
      <c r="AB63" s="115"/>
    </row>
    <row r="64" spans="10:28" x14ac:dyDescent="0.25">
      <c r="J64" s="37">
        <f t="shared" si="3"/>
        <v>25</v>
      </c>
      <c r="K64" s="63" cm="1">
        <f t="array" ref="K64">MMULT(D28:F28,$K$34:$K$36)</f>
        <v>6.4376440654838589</v>
      </c>
      <c r="L64" s="38">
        <f t="shared" si="2"/>
        <v>0</v>
      </c>
      <c r="M64" s="115"/>
      <c r="N64" s="115"/>
      <c r="O64" s="115"/>
      <c r="P64" s="50">
        <v>1</v>
      </c>
      <c r="Q64" s="122" t="s">
        <v>114</v>
      </c>
      <c r="R64" s="120">
        <v>0</v>
      </c>
      <c r="S64" s="122" t="s">
        <v>111</v>
      </c>
      <c r="T64" s="122" t="s">
        <v>115</v>
      </c>
      <c r="U64" s="53" t="s">
        <v>117</v>
      </c>
      <c r="V64" s="123"/>
      <c r="AA64" s="115"/>
      <c r="AB64" s="115"/>
    </row>
    <row r="65" spans="10:28" x14ac:dyDescent="0.25">
      <c r="J65" s="37">
        <f t="shared" si="3"/>
        <v>26</v>
      </c>
      <c r="K65" s="63" cm="1">
        <f t="array" ref="K65">MMULT(D29:F29,$K$34:$K$36)</f>
        <v>4.2983095283388302</v>
      </c>
      <c r="L65" s="38">
        <f t="shared" si="2"/>
        <v>1</v>
      </c>
      <c r="M65" s="115"/>
      <c r="N65" s="115"/>
      <c r="O65" s="115"/>
      <c r="P65" s="50">
        <v>1</v>
      </c>
      <c r="Q65" s="122" t="s">
        <v>114</v>
      </c>
      <c r="R65" s="120">
        <v>1</v>
      </c>
      <c r="S65" s="122" t="s">
        <v>114</v>
      </c>
      <c r="T65" s="122" t="s">
        <v>112</v>
      </c>
      <c r="U65" s="53" t="s">
        <v>113</v>
      </c>
      <c r="V65" s="123"/>
      <c r="AA65" s="115"/>
      <c r="AB65" s="115"/>
    </row>
    <row r="66" spans="10:28" x14ac:dyDescent="0.25">
      <c r="J66" s="37">
        <f t="shared" si="3"/>
        <v>27</v>
      </c>
      <c r="K66" s="63" cm="1">
        <f t="array" ref="K66">MMULT(D30:F30,$K$34:$K$36)</f>
        <v>5.1440399161299455</v>
      </c>
      <c r="L66" s="38">
        <f t="shared" si="2"/>
        <v>0</v>
      </c>
      <c r="M66" s="115"/>
      <c r="N66" s="115"/>
      <c r="O66" s="115"/>
      <c r="P66" s="50">
        <v>1</v>
      </c>
      <c r="Q66" s="122" t="s">
        <v>114</v>
      </c>
      <c r="R66" s="120">
        <v>0</v>
      </c>
      <c r="S66" s="122" t="s">
        <v>111</v>
      </c>
      <c r="T66" s="122" t="s">
        <v>115</v>
      </c>
      <c r="U66" s="53" t="s">
        <v>117</v>
      </c>
      <c r="V66" s="123"/>
      <c r="AA66" s="115"/>
      <c r="AB66" s="115"/>
    </row>
    <row r="67" spans="10:28" x14ac:dyDescent="0.25">
      <c r="J67" s="37">
        <f t="shared" si="3"/>
        <v>28</v>
      </c>
      <c r="K67" s="63" cm="1">
        <f t="array" ref="K67">MMULT(D31:F31,$K$34:$K$36)</f>
        <v>1.923110399128211</v>
      </c>
      <c r="L67" s="38">
        <f t="shared" si="2"/>
        <v>1</v>
      </c>
      <c r="M67" s="115"/>
      <c r="N67" s="115"/>
      <c r="O67" s="115"/>
      <c r="P67" s="50">
        <v>1</v>
      </c>
      <c r="Q67" s="122" t="s">
        <v>114</v>
      </c>
      <c r="R67" s="120">
        <v>1</v>
      </c>
      <c r="S67" s="122" t="s">
        <v>114</v>
      </c>
      <c r="T67" s="122" t="s">
        <v>112</v>
      </c>
      <c r="U67" s="53" t="s">
        <v>113</v>
      </c>
      <c r="V67" s="123"/>
      <c r="AA67" s="115"/>
      <c r="AB67" s="115"/>
    </row>
    <row r="68" spans="10:28" x14ac:dyDescent="0.25">
      <c r="J68" s="37">
        <f t="shared" si="3"/>
        <v>29</v>
      </c>
      <c r="K68" s="63" cm="1">
        <f t="array" ref="K68">MMULT(D32:F32,$K$34:$K$36)</f>
        <v>4.7237076991342288</v>
      </c>
      <c r="L68" s="38">
        <f t="shared" si="2"/>
        <v>0</v>
      </c>
      <c r="M68" s="115"/>
      <c r="N68" s="115"/>
      <c r="O68" s="115"/>
      <c r="P68" s="50">
        <v>1</v>
      </c>
      <c r="Q68" s="122" t="s">
        <v>114</v>
      </c>
      <c r="R68" s="120">
        <v>0</v>
      </c>
      <c r="S68" s="122" t="s">
        <v>111</v>
      </c>
      <c r="T68" s="122" t="s">
        <v>115</v>
      </c>
      <c r="U68" s="53" t="s">
        <v>117</v>
      </c>
      <c r="V68" s="123"/>
      <c r="AA68" s="115"/>
      <c r="AB68" s="115"/>
    </row>
    <row r="69" spans="10:28" x14ac:dyDescent="0.25">
      <c r="J69" s="37">
        <f t="shared" si="3"/>
        <v>30</v>
      </c>
      <c r="K69" s="63" cm="1">
        <f t="array" ref="K69">MMULT(D33:F33,$K$34:$K$36)</f>
        <v>0.44772309785541381</v>
      </c>
      <c r="L69" s="38">
        <f t="shared" si="2"/>
        <v>1</v>
      </c>
      <c r="M69" s="115"/>
      <c r="N69" s="115"/>
      <c r="O69" s="115"/>
      <c r="P69" s="50">
        <v>1</v>
      </c>
      <c r="Q69" s="122" t="s">
        <v>114</v>
      </c>
      <c r="R69" s="120">
        <v>1</v>
      </c>
      <c r="S69" s="122" t="s">
        <v>114</v>
      </c>
      <c r="T69" s="122" t="s">
        <v>112</v>
      </c>
      <c r="U69" s="53" t="s">
        <v>113</v>
      </c>
      <c r="AA69" s="115"/>
      <c r="AB69" s="115"/>
    </row>
    <row r="70" spans="10:28" x14ac:dyDescent="0.25">
      <c r="J70" s="37">
        <f t="shared" si="3"/>
        <v>31</v>
      </c>
      <c r="K70" s="63" cm="1">
        <f t="array" ref="K70">MMULT(D34:F34,$K$34:$K$36)</f>
        <v>4.147599170289145</v>
      </c>
      <c r="L70" s="38">
        <f t="shared" si="2"/>
        <v>1</v>
      </c>
      <c r="M70" s="115"/>
      <c r="N70" s="115"/>
      <c r="O70" s="115"/>
      <c r="P70" s="50">
        <v>1</v>
      </c>
      <c r="Q70" s="122" t="s">
        <v>114</v>
      </c>
      <c r="R70" s="120">
        <v>1</v>
      </c>
      <c r="S70" s="122" t="s">
        <v>114</v>
      </c>
      <c r="T70" s="122" t="s">
        <v>112</v>
      </c>
      <c r="U70" s="53" t="s">
        <v>113</v>
      </c>
      <c r="V70" s="123"/>
      <c r="AA70" s="115"/>
      <c r="AB70" s="115"/>
    </row>
    <row r="71" spans="10:28" x14ac:dyDescent="0.25">
      <c r="J71" s="60">
        <f t="shared" si="3"/>
        <v>32</v>
      </c>
      <c r="K71" s="64" cm="1">
        <f t="array" ref="K71">MMULT(D35:F35,$K$34:$K$36)</f>
        <v>2.8109932181664599</v>
      </c>
      <c r="L71" s="39">
        <f t="shared" si="2"/>
        <v>1</v>
      </c>
      <c r="M71" s="115"/>
      <c r="N71" s="115"/>
      <c r="O71" s="115"/>
      <c r="P71" s="51">
        <v>1</v>
      </c>
      <c r="Q71" s="54" t="s">
        <v>114</v>
      </c>
      <c r="R71" s="52">
        <v>1</v>
      </c>
      <c r="S71" s="54" t="s">
        <v>114</v>
      </c>
      <c r="T71" s="54" t="s">
        <v>112</v>
      </c>
      <c r="U71" s="55" t="s">
        <v>113</v>
      </c>
      <c r="V71" s="123"/>
      <c r="AA71" s="115"/>
      <c r="AB71" s="115"/>
    </row>
    <row r="72" spans="10:28" x14ac:dyDescent="0.25">
      <c r="J72" s="115"/>
      <c r="K72" s="115"/>
      <c r="L72" s="115"/>
      <c r="M72" s="115"/>
      <c r="N72" s="115"/>
      <c r="O72" s="115"/>
      <c r="P72" s="115"/>
      <c r="Q72" s="115"/>
      <c r="R72" s="115"/>
      <c r="S72" s="115"/>
      <c r="T72" s="115"/>
      <c r="U72" s="115"/>
      <c r="AA72" s="115"/>
      <c r="AB72" s="115"/>
    </row>
    <row r="73" spans="10:28" x14ac:dyDescent="0.25">
      <c r="J73" s="115"/>
      <c r="K73" s="115"/>
      <c r="L73" s="115"/>
      <c r="M73" s="115"/>
      <c r="N73" s="115"/>
      <c r="O73" s="115"/>
      <c r="P73" s="115"/>
      <c r="Q73" s="115"/>
      <c r="R73" s="115"/>
      <c r="S73" s="115"/>
      <c r="T73" s="115"/>
      <c r="U73" s="115"/>
      <c r="AA73" s="115"/>
      <c r="AB73" s="115"/>
    </row>
    <row r="74" spans="10:28" x14ac:dyDescent="0.25">
      <c r="J74" s="115"/>
      <c r="K74" s="115"/>
      <c r="L74" s="115"/>
      <c r="M74" s="115"/>
      <c r="N74" s="115"/>
      <c r="O74" s="115"/>
      <c r="P74" s="115"/>
      <c r="Q74" s="115"/>
      <c r="R74" s="115"/>
      <c r="S74" s="115"/>
      <c r="T74" s="115"/>
      <c r="U74" s="115"/>
      <c r="AA74" s="115"/>
      <c r="AB74" s="115"/>
    </row>
    <row r="75" spans="10:28" ht="20" thickBot="1" x14ac:dyDescent="0.3">
      <c r="J75" s="103" t="s">
        <v>118</v>
      </c>
      <c r="K75" s="103"/>
      <c r="L75" s="103"/>
      <c r="M75" s="115"/>
      <c r="N75" s="115"/>
      <c r="O75" s="115"/>
      <c r="P75" s="115"/>
      <c r="Q75" s="115"/>
      <c r="R75" s="115"/>
      <c r="S75" s="103" t="s">
        <v>122</v>
      </c>
      <c r="T75" s="103"/>
      <c r="U75" s="103"/>
      <c r="AA75" s="115"/>
      <c r="AB75" s="115"/>
    </row>
    <row r="76" spans="10:28" x14ac:dyDescent="0.25">
      <c r="J76" s="115"/>
      <c r="K76" s="115"/>
      <c r="L76" s="115"/>
      <c r="M76" s="115"/>
      <c r="N76" s="115"/>
      <c r="O76" s="115"/>
      <c r="P76" s="115"/>
      <c r="Q76" s="115"/>
      <c r="R76" s="115"/>
      <c r="S76" s="115"/>
      <c r="T76" s="115"/>
      <c r="U76" s="115"/>
      <c r="AA76" s="115"/>
      <c r="AB76" s="115"/>
    </row>
    <row r="77" spans="10:28" x14ac:dyDescent="0.25">
      <c r="J77" s="46" t="s">
        <v>1</v>
      </c>
      <c r="K77" s="47" t="s">
        <v>56</v>
      </c>
      <c r="L77" s="67" t="s">
        <v>57</v>
      </c>
      <c r="M77" s="115"/>
      <c r="N77" s="144" t="s">
        <v>119</v>
      </c>
      <c r="O77" s="144"/>
      <c r="P77" s="115"/>
      <c r="Q77" s="115"/>
      <c r="R77" s="115"/>
      <c r="S77" s="115"/>
      <c r="T77" s="115"/>
      <c r="U77" s="115"/>
      <c r="AA77" s="115"/>
      <c r="AB77" s="115"/>
    </row>
    <row r="78" spans="10:28" x14ac:dyDescent="0.25">
      <c r="J78" s="68">
        <v>1</v>
      </c>
      <c r="K78" s="69" cm="1">
        <f t="array" ref="K78">MMULT(D4:F4,$K$34:$K$36)</f>
        <v>6.2793090973139183</v>
      </c>
      <c r="L78" s="70" t="str">
        <f>IF(K78&gt;6.5, "A", IF(K78&gt;5, "B", IF(K78&gt;=4, "C", "Defaulted")))</f>
        <v>B</v>
      </c>
      <c r="M78" s="115"/>
      <c r="N78" s="12" t="s">
        <v>81</v>
      </c>
      <c r="O78" s="12">
        <v>22</v>
      </c>
      <c r="P78" s="115"/>
      <c r="Q78" s="115"/>
      <c r="R78" s="115"/>
      <c r="S78" s="30" t="s">
        <v>123</v>
      </c>
      <c r="T78" s="73">
        <f>MIN(K78:K109)</f>
        <v>0.44772309785541381</v>
      </c>
      <c r="U78" s="115"/>
      <c r="AA78" s="115"/>
      <c r="AB78" s="115"/>
    </row>
    <row r="79" spans="10:28" x14ac:dyDescent="0.25">
      <c r="J79" s="37">
        <f>J78+1</f>
        <v>2</v>
      </c>
      <c r="K79" s="61" cm="1">
        <f t="array" ref="K79">MMULT(D5:F5,$K$34:$K$36)</f>
        <v>8.4497022225237259</v>
      </c>
      <c r="L79" s="38" t="str">
        <f t="shared" ref="L79:L109" si="4">IF(K79&gt;6.5, "A", IF(K79&gt;5, "B", IF(K79&gt;=4, "C", "Defaulted")))</f>
        <v>A</v>
      </c>
      <c r="M79" s="115"/>
      <c r="N79" s="12" t="s">
        <v>82</v>
      </c>
      <c r="O79" s="12">
        <v>10</v>
      </c>
      <c r="P79" s="115"/>
      <c r="Q79" s="115"/>
      <c r="R79" s="115"/>
      <c r="S79" s="28" t="s">
        <v>124</v>
      </c>
      <c r="T79" s="65">
        <f>MAX(K78:K109)</f>
        <v>8.4497022225237259</v>
      </c>
      <c r="U79" s="115"/>
      <c r="AA79" s="115"/>
      <c r="AB79" s="115"/>
    </row>
    <row r="80" spans="10:28" x14ac:dyDescent="0.25">
      <c r="J80" s="37">
        <f t="shared" ref="J80:J109" si="5">J79+1</f>
        <v>3</v>
      </c>
      <c r="K80" s="61" cm="1">
        <f t="array" ref="K80">MMULT(D6:F6,$K$34:$K$36)</f>
        <v>5.9438982324088565</v>
      </c>
      <c r="L80" s="38" t="str">
        <f t="shared" si="4"/>
        <v>B</v>
      </c>
      <c r="M80" s="115"/>
      <c r="N80" s="12" t="s">
        <v>120</v>
      </c>
      <c r="O80" s="12">
        <v>3</v>
      </c>
      <c r="P80" s="115"/>
      <c r="Q80" s="115"/>
      <c r="R80" s="115"/>
      <c r="S80" s="28" t="s">
        <v>125</v>
      </c>
      <c r="T80" s="65">
        <f>AVERAGE(K78:K109)</f>
        <v>4.969074534337274</v>
      </c>
      <c r="U80" s="115"/>
      <c r="AA80" s="115"/>
      <c r="AB80" s="115"/>
    </row>
    <row r="81" spans="10:28" x14ac:dyDescent="0.25">
      <c r="J81" s="37">
        <f t="shared" si="5"/>
        <v>4</v>
      </c>
      <c r="K81" s="61" cm="1">
        <f t="array" ref="K81">MMULT(D7:F7,$K$34:$K$36)</f>
        <v>4.0660783924807378</v>
      </c>
      <c r="L81" s="38" t="str">
        <f t="shared" si="4"/>
        <v>C</v>
      </c>
      <c r="M81" s="115"/>
      <c r="N81" s="12" t="s">
        <v>121</v>
      </c>
      <c r="O81" s="12">
        <v>6</v>
      </c>
      <c r="P81" s="115"/>
      <c r="Q81" s="115"/>
      <c r="R81" s="115"/>
      <c r="S81" s="28" t="s">
        <v>126</v>
      </c>
      <c r="T81" s="65">
        <f>QUARTILE(K78:K109,1)</f>
        <v>4.1272189758370432</v>
      </c>
      <c r="U81" s="115"/>
      <c r="AA81" s="115"/>
      <c r="AB81" s="115"/>
    </row>
    <row r="82" spans="10:28" x14ac:dyDescent="0.25">
      <c r="J82" s="37">
        <f t="shared" si="5"/>
        <v>5</v>
      </c>
      <c r="K82" s="61" cm="1">
        <f t="array" ref="K82">MMULT(D8:F8,$K$34:$K$36)</f>
        <v>5.9852996160789083</v>
      </c>
      <c r="L82" s="38" t="str">
        <f t="shared" si="4"/>
        <v>B</v>
      </c>
      <c r="M82" s="115"/>
      <c r="N82" s="115"/>
      <c r="O82" s="115"/>
      <c r="P82" s="115"/>
      <c r="Q82" s="115"/>
      <c r="R82" s="115"/>
      <c r="S82" s="28" t="s">
        <v>127</v>
      </c>
      <c r="T82" s="65">
        <f>QUARTILE(K78:K109,2)</f>
        <v>5.0701638971666725</v>
      </c>
      <c r="U82" s="115"/>
      <c r="AA82" s="115"/>
      <c r="AB82" s="115"/>
    </row>
    <row r="83" spans="10:28" x14ac:dyDescent="0.25">
      <c r="J83" s="37">
        <f t="shared" si="5"/>
        <v>6</v>
      </c>
      <c r="K83" s="61" cm="1">
        <f t="array" ref="K83">MMULT(D9:F9,$K$34:$K$36)</f>
        <v>5.3575116428077312</v>
      </c>
      <c r="L83" s="38" t="str">
        <f t="shared" si="4"/>
        <v>B</v>
      </c>
      <c r="M83" s="115"/>
      <c r="N83" s="115"/>
      <c r="O83" s="115"/>
      <c r="P83" s="115"/>
      <c r="Q83" s="115"/>
      <c r="R83" s="115"/>
      <c r="S83" s="29" t="s">
        <v>128</v>
      </c>
      <c r="T83" s="66">
        <f>QUARTILE(K78:K109,3)</f>
        <v>6.3068295458799799</v>
      </c>
      <c r="U83" s="115"/>
      <c r="AA83" s="115"/>
      <c r="AB83" s="115"/>
    </row>
    <row r="84" spans="10:28" x14ac:dyDescent="0.25">
      <c r="J84" s="37">
        <f t="shared" si="5"/>
        <v>7</v>
      </c>
      <c r="K84" s="61" cm="1">
        <f t="array" ref="K84">MMULT(D10:F10,$K$34:$K$36)</f>
        <v>5.209341584544072</v>
      </c>
      <c r="L84" s="38" t="str">
        <f t="shared" si="4"/>
        <v>B</v>
      </c>
      <c r="M84" s="115"/>
      <c r="N84" s="115"/>
      <c r="O84" s="115"/>
      <c r="P84" s="115"/>
      <c r="Q84" s="115"/>
      <c r="R84" s="115"/>
      <c r="S84" s="115"/>
      <c r="T84" s="115"/>
      <c r="U84" s="115"/>
      <c r="AA84" s="115"/>
      <c r="AB84" s="115"/>
    </row>
    <row r="85" spans="10:28" ht="20" thickBot="1" x14ac:dyDescent="0.3">
      <c r="J85" s="37">
        <f t="shared" si="5"/>
        <v>8</v>
      </c>
      <c r="K85" s="61" cm="1">
        <f t="array" ref="K85">MMULT(D11:F11,$K$34:$K$36)</f>
        <v>7.8002543459600187</v>
      </c>
      <c r="L85" s="38" t="str">
        <f t="shared" si="4"/>
        <v>A</v>
      </c>
      <c r="M85" s="115"/>
      <c r="N85" s="103" t="s">
        <v>130</v>
      </c>
      <c r="O85" s="103"/>
      <c r="P85" s="103"/>
      <c r="Q85" s="115"/>
      <c r="R85" s="115"/>
      <c r="S85" s="94" t="s">
        <v>129</v>
      </c>
      <c r="T85" s="95"/>
      <c r="U85" s="96"/>
      <c r="AA85" s="115"/>
      <c r="AB85" s="115"/>
    </row>
    <row r="86" spans="10:28" x14ac:dyDescent="0.25">
      <c r="J86" s="37">
        <f t="shared" si="5"/>
        <v>9</v>
      </c>
      <c r="K86" s="61" cm="1">
        <f t="array" ref="K86">MMULT(D12:F12,$K$34:$K$36)</f>
        <v>4.8885067786733023</v>
      </c>
      <c r="L86" s="38" t="str">
        <f t="shared" si="4"/>
        <v>C</v>
      </c>
      <c r="M86" s="115"/>
      <c r="N86" s="150" t="s">
        <v>131</v>
      </c>
      <c r="O86" s="151" t="s">
        <v>132</v>
      </c>
      <c r="P86" s="115"/>
      <c r="Q86" s="115"/>
      <c r="R86" s="115"/>
      <c r="S86" s="97"/>
      <c r="T86" s="131"/>
      <c r="U86" s="99"/>
      <c r="AA86" s="115"/>
      <c r="AB86" s="115"/>
    </row>
    <row r="87" spans="10:28" x14ac:dyDescent="0.25">
      <c r="J87" s="37">
        <f t="shared" si="5"/>
        <v>10</v>
      </c>
      <c r="K87" s="61" cm="1">
        <f t="array" ref="K87">MMULT(D13:F13,$K$34:$K$36)</f>
        <v>3.8873210994489504</v>
      </c>
      <c r="L87" s="38" t="str">
        <f t="shared" si="4"/>
        <v>Defaulted</v>
      </c>
      <c r="M87" s="115"/>
      <c r="N87" s="40" t="s">
        <v>41</v>
      </c>
      <c r="O87" s="41" t="s">
        <v>133</v>
      </c>
      <c r="P87" s="115"/>
      <c r="Q87" s="115"/>
      <c r="R87" s="115"/>
      <c r="S87" s="100"/>
      <c r="T87" s="101"/>
      <c r="U87" s="102"/>
      <c r="AA87" s="115"/>
      <c r="AB87" s="115"/>
    </row>
    <row r="88" spans="10:28" x14ac:dyDescent="0.25">
      <c r="J88" s="37">
        <f t="shared" si="5"/>
        <v>11</v>
      </c>
      <c r="K88" s="61" cm="1">
        <f t="array" ref="K88">MMULT(D14:F14,$K$34:$K$36)</f>
        <v>4.1853697500349059</v>
      </c>
      <c r="L88" s="38" t="str">
        <f t="shared" si="4"/>
        <v>C</v>
      </c>
      <c r="M88" s="115"/>
      <c r="N88" s="40" t="s">
        <v>42</v>
      </c>
      <c r="O88" s="41" t="s">
        <v>134</v>
      </c>
      <c r="P88" s="115"/>
      <c r="Q88" s="115"/>
      <c r="R88" s="115"/>
      <c r="S88" s="115"/>
      <c r="T88" s="115"/>
      <c r="U88" s="115"/>
      <c r="AA88" s="115"/>
      <c r="AB88" s="115"/>
    </row>
    <row r="89" spans="10:28" x14ac:dyDescent="0.25">
      <c r="J89" s="37">
        <f t="shared" si="5"/>
        <v>12</v>
      </c>
      <c r="K89" s="61" cm="1">
        <f t="array" ref="K89">MMULT(D15:F15,$K$34:$K$36)</f>
        <v>3.8664251014906066</v>
      </c>
      <c r="L89" s="38" t="str">
        <f t="shared" si="4"/>
        <v>Defaulted</v>
      </c>
      <c r="M89" s="115"/>
      <c r="N89" s="40" t="s">
        <v>43</v>
      </c>
      <c r="O89" s="41" t="s">
        <v>135</v>
      </c>
      <c r="P89" s="115"/>
      <c r="Q89" s="115"/>
      <c r="R89" s="115"/>
      <c r="S89" s="115"/>
      <c r="T89" s="115"/>
      <c r="U89" s="115"/>
      <c r="AA89" s="115"/>
      <c r="AB89" s="115"/>
    </row>
    <row r="90" spans="10:28" x14ac:dyDescent="0.25">
      <c r="J90" s="37">
        <f t="shared" si="5"/>
        <v>13</v>
      </c>
      <c r="K90" s="61" cm="1">
        <f t="array" ref="K90">MMULT(D16:F16,$K$34:$K$36)</f>
        <v>5.1495009224798505</v>
      </c>
      <c r="L90" s="38" t="str">
        <f t="shared" si="4"/>
        <v>B</v>
      </c>
      <c r="M90" s="115"/>
      <c r="N90" s="42" t="s">
        <v>8</v>
      </c>
      <c r="O90" s="43" t="s">
        <v>136</v>
      </c>
      <c r="P90" s="115"/>
      <c r="Q90" s="115"/>
      <c r="R90" s="115"/>
      <c r="S90" s="115"/>
      <c r="T90" s="115"/>
      <c r="U90" s="115"/>
      <c r="AA90" s="115"/>
      <c r="AB90" s="115"/>
    </row>
    <row r="91" spans="10:28" x14ac:dyDescent="0.25">
      <c r="J91" s="37">
        <f t="shared" si="5"/>
        <v>14</v>
      </c>
      <c r="K91" s="61" cm="1">
        <f t="array" ref="K91">MMULT(D17:F17,$K$34:$K$36)</f>
        <v>4.4778235130536146</v>
      </c>
      <c r="L91" s="38" t="str">
        <f t="shared" si="4"/>
        <v>C</v>
      </c>
      <c r="M91" s="115"/>
      <c r="N91" s="115"/>
      <c r="O91" s="115"/>
      <c r="P91" s="115"/>
      <c r="Q91" s="115"/>
      <c r="R91" s="115"/>
      <c r="S91" s="115"/>
      <c r="T91" s="115"/>
      <c r="U91" s="115"/>
      <c r="AA91" s="115"/>
      <c r="AB91" s="115"/>
    </row>
    <row r="92" spans="10:28" x14ac:dyDescent="0.25">
      <c r="J92" s="37">
        <f t="shared" si="5"/>
        <v>15</v>
      </c>
      <c r="K92" s="61" cm="1">
        <f t="array" ref="K92">MMULT(D18:F18,$K$34:$K$36)</f>
        <v>7.207210310468108</v>
      </c>
      <c r="L92" s="38" t="str">
        <f t="shared" si="4"/>
        <v>A</v>
      </c>
      <c r="M92" s="115"/>
      <c r="N92" s="115"/>
      <c r="O92" s="115"/>
      <c r="P92" s="115"/>
      <c r="Q92" s="115"/>
      <c r="R92" s="115"/>
      <c r="S92" s="115"/>
      <c r="T92" s="115"/>
      <c r="U92" s="115"/>
      <c r="AA92" s="115"/>
      <c r="AB92" s="115"/>
    </row>
    <row r="93" spans="10:28" x14ac:dyDescent="0.25">
      <c r="J93" s="37">
        <f t="shared" si="5"/>
        <v>16</v>
      </c>
      <c r="K93" s="61" cm="1">
        <f t="array" ref="K93">MMULT(D19:F19,$K$34:$K$36)</f>
        <v>7.1643179010512874</v>
      </c>
      <c r="L93" s="38" t="str">
        <f t="shared" si="4"/>
        <v>A</v>
      </c>
      <c r="M93" s="115"/>
      <c r="N93" s="115"/>
      <c r="O93" s="115"/>
      <c r="P93" s="115"/>
      <c r="Q93" s="115"/>
      <c r="R93" s="115"/>
      <c r="S93" s="115"/>
      <c r="T93" s="115"/>
      <c r="U93" s="115"/>
      <c r="AA93" s="115"/>
      <c r="AB93" s="115"/>
    </row>
    <row r="94" spans="10:28" x14ac:dyDescent="0.25">
      <c r="J94" s="37">
        <f t="shared" si="5"/>
        <v>17</v>
      </c>
      <c r="K94" s="61" cm="1">
        <f t="array" ref="K94">MMULT(D20:F20,$K$34:$K$36)</f>
        <v>6.8739767274916517</v>
      </c>
      <c r="L94" s="38" t="str">
        <f t="shared" si="4"/>
        <v>A</v>
      </c>
      <c r="M94" s="115"/>
      <c r="N94" s="115"/>
      <c r="O94" s="115"/>
      <c r="P94" s="115"/>
      <c r="Q94" s="115"/>
      <c r="R94" s="115"/>
      <c r="S94" s="115"/>
      <c r="T94" s="115"/>
      <c r="U94" s="115"/>
      <c r="AA94" s="115"/>
      <c r="AB94" s="115"/>
    </row>
    <row r="95" spans="10:28" x14ac:dyDescent="0.25">
      <c r="J95" s="37">
        <f t="shared" si="5"/>
        <v>18</v>
      </c>
      <c r="K95" s="61" cm="1">
        <f t="array" ref="K95">MMULT(D21:F21,$K$34:$K$36)</f>
        <v>4.449958397881689</v>
      </c>
      <c r="L95" s="38" t="str">
        <f t="shared" si="4"/>
        <v>C</v>
      </c>
      <c r="M95" s="115"/>
      <c r="N95" s="115"/>
      <c r="O95" s="115"/>
      <c r="P95" s="115"/>
      <c r="Q95" s="115"/>
      <c r="R95" s="115"/>
      <c r="S95" s="115"/>
      <c r="T95" s="115"/>
      <c r="U95" s="115"/>
      <c r="AA95" s="115"/>
      <c r="AB95" s="115"/>
    </row>
    <row r="96" spans="10:28" x14ac:dyDescent="0.25">
      <c r="J96" s="37">
        <f t="shared" si="5"/>
        <v>19</v>
      </c>
      <c r="K96" s="61" cm="1">
        <f t="array" ref="K96">MMULT(D22:F22,$K$34:$K$36)</f>
        <v>5.3217391372122673</v>
      </c>
      <c r="L96" s="38" t="str">
        <f t="shared" si="4"/>
        <v>B</v>
      </c>
      <c r="M96" s="115"/>
      <c r="N96" s="115"/>
      <c r="O96" s="115"/>
      <c r="P96" s="115"/>
      <c r="Q96" s="115"/>
      <c r="R96" s="115"/>
      <c r="S96" s="115"/>
      <c r="T96" s="115"/>
      <c r="U96" s="115"/>
      <c r="AA96" s="115"/>
      <c r="AB96" s="115"/>
    </row>
    <row r="97" spans="4:28" x14ac:dyDescent="0.25">
      <c r="J97" s="37">
        <f t="shared" si="5"/>
        <v>20</v>
      </c>
      <c r="K97" s="61" cm="1">
        <f t="array" ref="K97">MMULT(D23:F23,$K$34:$K$36)</f>
        <v>7.1813771169628824</v>
      </c>
      <c r="L97" s="38" t="str">
        <f t="shared" si="4"/>
        <v>A</v>
      </c>
      <c r="M97" s="115"/>
      <c r="N97" s="104" t="s">
        <v>137</v>
      </c>
      <c r="O97" s="105"/>
      <c r="P97" s="74">
        <f>(32 - 9)/32</f>
        <v>0.71875</v>
      </c>
      <c r="Q97" s="115"/>
      <c r="R97" s="115"/>
      <c r="S97" s="115"/>
      <c r="T97" s="115"/>
      <c r="U97" s="115"/>
      <c r="AA97" s="115"/>
      <c r="AB97" s="115"/>
    </row>
    <row r="98" spans="4:28" x14ac:dyDescent="0.25">
      <c r="J98" s="37">
        <f t="shared" si="5"/>
        <v>21</v>
      </c>
      <c r="K98" s="61" cm="1">
        <f t="array" ref="K98">MMULT(D24:F24,$K$34:$K$36)</f>
        <v>6.3893908915781648</v>
      </c>
      <c r="L98" s="38" t="str">
        <f t="shared" si="4"/>
        <v>B</v>
      </c>
      <c r="M98" s="115"/>
      <c r="N98" s="115"/>
      <c r="O98" s="115"/>
      <c r="P98" s="115"/>
      <c r="Q98" s="115"/>
      <c r="R98" s="115"/>
      <c r="S98" s="115"/>
      <c r="T98" s="115"/>
      <c r="U98" s="115"/>
      <c r="AA98" s="115"/>
      <c r="AB98" s="115"/>
    </row>
    <row r="99" spans="4:28" x14ac:dyDescent="0.25">
      <c r="J99" s="37">
        <f t="shared" si="5"/>
        <v>22</v>
      </c>
      <c r="K99" s="61" cm="1">
        <f t="array" ref="K99">MMULT(D25:F25,$K$34:$K$36)</f>
        <v>4.9962878782033995</v>
      </c>
      <c r="L99" s="38" t="str">
        <f t="shared" si="4"/>
        <v>C</v>
      </c>
      <c r="M99" s="115"/>
      <c r="N99" s="115"/>
      <c r="O99" s="115"/>
      <c r="P99" s="115"/>
      <c r="Q99" s="115"/>
      <c r="R99" s="115"/>
      <c r="S99" s="115"/>
      <c r="T99" s="115"/>
      <c r="U99" s="115"/>
      <c r="AA99" s="115"/>
      <c r="AB99" s="115"/>
    </row>
    <row r="100" spans="4:28" x14ac:dyDescent="0.25">
      <c r="J100" s="37">
        <f t="shared" si="5"/>
        <v>23</v>
      </c>
      <c r="K100" s="61" cm="1">
        <f t="array" ref="K100">MMULT(D26:F26,$K$34:$K$36)</f>
        <v>1.7057901051733753</v>
      </c>
      <c r="L100" s="38" t="str">
        <f t="shared" si="4"/>
        <v>Defaulted</v>
      </c>
      <c r="M100" s="115"/>
      <c r="N100" s="115"/>
      <c r="O100" s="115"/>
      <c r="P100" s="115"/>
      <c r="Q100" s="115"/>
      <c r="R100" s="115"/>
      <c r="S100" s="115"/>
      <c r="T100" s="115"/>
      <c r="U100" s="115"/>
      <c r="AA100" s="115"/>
      <c r="AB100" s="115"/>
    </row>
    <row r="101" spans="4:28" x14ac:dyDescent="0.25">
      <c r="J101" s="37">
        <f t="shared" si="5"/>
        <v>24</v>
      </c>
      <c r="K101" s="61" cm="1">
        <f t="array" ref="K101">MMULT(D27:F27,$K$34:$K$36)</f>
        <v>2.240867238944706</v>
      </c>
      <c r="L101" s="38" t="str">
        <f t="shared" si="4"/>
        <v>Defaulted</v>
      </c>
      <c r="M101" s="115"/>
      <c r="N101" s="115"/>
      <c r="O101" s="115"/>
      <c r="P101" s="115"/>
      <c r="Q101" s="115"/>
      <c r="R101" s="115"/>
      <c r="S101" s="115"/>
      <c r="T101" s="115"/>
      <c r="U101" s="115"/>
      <c r="AA101" s="115"/>
      <c r="AB101" s="115"/>
    </row>
    <row r="102" spans="4:28" x14ac:dyDescent="0.25">
      <c r="J102" s="37">
        <f t="shared" si="5"/>
        <v>25</v>
      </c>
      <c r="K102" s="61" cm="1">
        <f t="array" ref="K102">MMULT(D28:F28,$K$34:$K$36)</f>
        <v>6.4376440654838589</v>
      </c>
      <c r="L102" s="38" t="str">
        <f t="shared" si="4"/>
        <v>B</v>
      </c>
      <c r="M102" s="115"/>
      <c r="N102" s="115"/>
      <c r="O102" s="115"/>
      <c r="P102" s="115"/>
      <c r="Q102" s="115"/>
      <c r="R102" s="115"/>
      <c r="S102" s="115"/>
      <c r="T102" s="115"/>
      <c r="U102" s="115"/>
      <c r="AA102" s="115"/>
      <c r="AB102" s="115"/>
    </row>
    <row r="103" spans="4:28" x14ac:dyDescent="0.25">
      <c r="J103" s="37">
        <f t="shared" si="5"/>
        <v>26</v>
      </c>
      <c r="K103" s="61" cm="1">
        <f t="array" ref="K103">MMULT(D29:F29,$K$34:$K$36)</f>
        <v>4.2983095283388302</v>
      </c>
      <c r="L103" s="38" t="str">
        <f t="shared" si="4"/>
        <v>C</v>
      </c>
      <c r="M103" s="115"/>
      <c r="N103" s="115"/>
      <c r="O103" s="115"/>
      <c r="P103" s="115"/>
      <c r="Q103" s="115"/>
      <c r="R103" s="115"/>
      <c r="S103" s="115"/>
      <c r="T103" s="115"/>
      <c r="U103" s="115"/>
      <c r="AA103" s="115"/>
      <c r="AB103" s="115"/>
    </row>
    <row r="104" spans="4:28" x14ac:dyDescent="0.25">
      <c r="J104" s="37">
        <f t="shared" si="5"/>
        <v>27</v>
      </c>
      <c r="K104" s="61" cm="1">
        <f t="array" ref="K104">MMULT(D30:F30,$K$34:$K$36)</f>
        <v>5.1440399161299455</v>
      </c>
      <c r="L104" s="38" t="str">
        <f t="shared" si="4"/>
        <v>B</v>
      </c>
      <c r="M104" s="115"/>
      <c r="N104" s="115"/>
      <c r="O104" s="115"/>
      <c r="P104" s="115"/>
      <c r="Q104" s="115"/>
      <c r="R104" s="115"/>
      <c r="S104" s="115"/>
      <c r="T104" s="115"/>
      <c r="U104" s="115"/>
      <c r="AA104" s="115"/>
      <c r="AB104" s="115"/>
    </row>
    <row r="105" spans="4:28" x14ac:dyDescent="0.25">
      <c r="J105" s="37">
        <f t="shared" si="5"/>
        <v>28</v>
      </c>
      <c r="K105" s="61" cm="1">
        <f t="array" ref="K105">MMULT(D31:F31,$K$34:$K$36)</f>
        <v>1.923110399128211</v>
      </c>
      <c r="L105" s="38" t="str">
        <f t="shared" si="4"/>
        <v>Defaulted</v>
      </c>
      <c r="M105" s="115"/>
      <c r="N105" s="115"/>
      <c r="O105" s="115"/>
      <c r="P105" s="115"/>
      <c r="Q105" s="115"/>
      <c r="R105" s="115"/>
      <c r="S105" s="115"/>
      <c r="T105" s="115"/>
      <c r="U105" s="115"/>
      <c r="AA105" s="115"/>
      <c r="AB105" s="115"/>
    </row>
    <row r="106" spans="4:28" x14ac:dyDescent="0.25">
      <c r="J106" s="37">
        <f t="shared" si="5"/>
        <v>29</v>
      </c>
      <c r="K106" s="61" cm="1">
        <f t="array" ref="K106">MMULT(D32:F32,$K$34:$K$36)</f>
        <v>4.7237076991342288</v>
      </c>
      <c r="L106" s="38" t="str">
        <f t="shared" si="4"/>
        <v>C</v>
      </c>
      <c r="M106" s="115"/>
      <c r="N106" s="115"/>
      <c r="O106" s="115"/>
      <c r="P106" s="115"/>
      <c r="Q106" s="115"/>
      <c r="R106" s="115"/>
      <c r="S106" s="115"/>
      <c r="T106" s="115"/>
      <c r="U106" s="115"/>
      <c r="AA106" s="115"/>
      <c r="AB106" s="115"/>
    </row>
    <row r="107" spans="4:28" x14ac:dyDescent="0.25">
      <c r="J107" s="37">
        <f t="shared" si="5"/>
        <v>30</v>
      </c>
      <c r="K107" s="61" cm="1">
        <f t="array" ref="K107">MMULT(D33:F33,$K$34:$K$36)</f>
        <v>0.44772309785541381</v>
      </c>
      <c r="L107" s="38" t="str">
        <f t="shared" si="4"/>
        <v>Defaulted</v>
      </c>
      <c r="M107" s="115"/>
      <c r="N107" s="115"/>
      <c r="O107" s="115"/>
      <c r="P107" s="115"/>
      <c r="Q107" s="115"/>
      <c r="R107" s="115"/>
      <c r="S107" s="115"/>
      <c r="T107" s="115"/>
      <c r="U107" s="115"/>
      <c r="AA107" s="115"/>
      <c r="AB107" s="115"/>
    </row>
    <row r="108" spans="4:28" x14ac:dyDescent="0.25">
      <c r="J108" s="37">
        <f t="shared" si="5"/>
        <v>31</v>
      </c>
      <c r="K108" s="61" cm="1">
        <f t="array" ref="K108">MMULT(D34:F34,$K$34:$K$36)</f>
        <v>4.147599170289145</v>
      </c>
      <c r="L108" s="38" t="str">
        <f t="shared" si="4"/>
        <v>C</v>
      </c>
      <c r="M108" s="115"/>
      <c r="N108" s="115"/>
      <c r="O108" s="115"/>
      <c r="P108" s="115"/>
      <c r="Q108" s="115"/>
      <c r="R108" s="115"/>
      <c r="S108" s="115"/>
      <c r="T108" s="115"/>
      <c r="U108" s="115"/>
      <c r="AA108" s="115"/>
      <c r="AB108" s="115"/>
    </row>
    <row r="109" spans="4:28" x14ac:dyDescent="0.25">
      <c r="J109" s="60">
        <f t="shared" si="5"/>
        <v>32</v>
      </c>
      <c r="K109" s="71" cm="1">
        <f t="array" ref="K109">MMULT(D35:F35,$K$34:$K$36)</f>
        <v>2.8109932181664599</v>
      </c>
      <c r="L109" s="39" t="str">
        <f t="shared" si="4"/>
        <v>Defaulted</v>
      </c>
      <c r="M109" s="115"/>
      <c r="N109" s="115"/>
      <c r="O109" s="115"/>
      <c r="P109" s="115"/>
      <c r="Q109" s="115"/>
      <c r="R109" s="115"/>
      <c r="S109" s="115"/>
      <c r="T109" s="115"/>
      <c r="U109" s="115"/>
      <c r="AA109" s="115"/>
      <c r="AB109" s="115"/>
    </row>
    <row r="110" spans="4:28" x14ac:dyDescent="0.25">
      <c r="I110" s="115"/>
      <c r="J110" s="115"/>
      <c r="K110" s="115"/>
      <c r="L110" s="115"/>
      <c r="M110" s="115"/>
      <c r="N110" s="115"/>
      <c r="O110" s="115"/>
      <c r="P110" s="115"/>
      <c r="Q110" s="115"/>
      <c r="R110" s="115"/>
      <c r="S110" s="115"/>
      <c r="T110" s="115"/>
      <c r="U110" s="115"/>
      <c r="AA110" s="115"/>
      <c r="AB110" s="115"/>
    </row>
    <row r="111" spans="4:28" ht="23" x14ac:dyDescent="0.3">
      <c r="D111" s="13"/>
      <c r="I111" s="115"/>
      <c r="J111" s="116"/>
      <c r="K111" s="115"/>
      <c r="L111" s="115"/>
      <c r="M111" s="115"/>
      <c r="N111" s="115"/>
      <c r="O111" s="115"/>
      <c r="P111" s="115"/>
      <c r="Q111" s="115"/>
      <c r="R111" s="115"/>
      <c r="S111" s="115"/>
      <c r="T111" s="115"/>
      <c r="U111" s="115"/>
      <c r="AA111" s="115"/>
      <c r="AB111" s="115"/>
    </row>
    <row r="112" spans="4:28" x14ac:dyDescent="0.25">
      <c r="I112" s="115"/>
      <c r="J112" s="115"/>
      <c r="K112" s="115"/>
      <c r="L112" s="115"/>
      <c r="M112" s="115"/>
      <c r="N112" s="115"/>
      <c r="O112" s="115"/>
      <c r="P112" s="115"/>
      <c r="Q112" s="115"/>
      <c r="R112" s="115"/>
      <c r="S112" s="115"/>
      <c r="T112" s="115"/>
      <c r="U112" s="115"/>
      <c r="AA112" s="115"/>
      <c r="AB112" s="115"/>
    </row>
    <row r="113" spans="9:28" x14ac:dyDescent="0.25">
      <c r="I113" s="115"/>
      <c r="J113" s="115"/>
      <c r="K113" s="117"/>
      <c r="L113" s="115"/>
      <c r="M113" s="115"/>
      <c r="N113" s="115"/>
      <c r="O113" s="115"/>
      <c r="P113" s="115"/>
      <c r="Q113" s="115"/>
      <c r="R113" s="115"/>
      <c r="S113" s="115"/>
      <c r="T113" s="115"/>
      <c r="U113" s="115"/>
      <c r="AA113" s="115"/>
      <c r="AB113" s="115"/>
    </row>
    <row r="114" spans="9:28" x14ac:dyDescent="0.25">
      <c r="I114" s="115"/>
      <c r="J114" s="115"/>
      <c r="K114" s="117"/>
      <c r="L114" s="115"/>
      <c r="M114" s="115"/>
      <c r="N114" s="115"/>
      <c r="O114" s="115"/>
      <c r="P114" s="115"/>
      <c r="Q114" s="115"/>
      <c r="R114" s="115"/>
      <c r="S114" s="115"/>
      <c r="T114" s="115"/>
      <c r="U114" s="115"/>
      <c r="AA114" s="115"/>
      <c r="AB114" s="115"/>
    </row>
    <row r="115" spans="9:28" x14ac:dyDescent="0.25">
      <c r="I115" s="115"/>
      <c r="J115" s="115"/>
      <c r="K115" s="117"/>
      <c r="L115" s="115"/>
      <c r="M115" s="115"/>
      <c r="N115" s="115"/>
      <c r="O115" s="115"/>
      <c r="P115" s="115"/>
      <c r="Q115" s="115"/>
      <c r="R115" s="115"/>
      <c r="S115" s="115"/>
      <c r="T115" s="115"/>
      <c r="U115" s="115"/>
      <c r="AA115" s="115"/>
      <c r="AB115" s="115"/>
    </row>
    <row r="116" spans="9:28" x14ac:dyDescent="0.25">
      <c r="I116" s="115"/>
      <c r="J116" s="115"/>
      <c r="K116" s="115"/>
      <c r="L116" s="115"/>
      <c r="M116" s="115"/>
      <c r="N116" s="115"/>
      <c r="O116" s="115"/>
      <c r="P116" s="115"/>
      <c r="Q116" s="115"/>
      <c r="R116" s="115"/>
      <c r="S116" s="115"/>
      <c r="T116" s="115"/>
      <c r="U116" s="115"/>
      <c r="AA116" s="115"/>
      <c r="AB116" s="115"/>
    </row>
    <row r="117" spans="9:28" x14ac:dyDescent="0.25">
      <c r="I117" s="115"/>
      <c r="J117" s="115"/>
      <c r="K117" s="115"/>
      <c r="L117" s="118"/>
      <c r="M117" s="115"/>
      <c r="N117" s="115"/>
      <c r="O117" s="115"/>
      <c r="P117" s="115"/>
      <c r="Q117" s="115"/>
      <c r="R117" s="115"/>
      <c r="S117" s="115"/>
      <c r="T117" s="115"/>
      <c r="U117" s="115"/>
      <c r="AA117" s="115"/>
      <c r="AB117" s="115"/>
    </row>
    <row r="118" spans="9:28" x14ac:dyDescent="0.25">
      <c r="I118" s="115"/>
      <c r="J118" s="115"/>
      <c r="K118" s="115"/>
      <c r="L118" s="115"/>
      <c r="M118" s="115"/>
      <c r="N118" s="115"/>
      <c r="O118" s="115"/>
      <c r="P118" s="115"/>
      <c r="Q118" s="115"/>
      <c r="R118" s="115"/>
      <c r="S118" s="115"/>
      <c r="T118" s="115"/>
      <c r="U118" s="115"/>
      <c r="AA118" s="115"/>
      <c r="AB118" s="115"/>
    </row>
    <row r="119" spans="9:28" x14ac:dyDescent="0.25">
      <c r="I119" s="115"/>
      <c r="J119" s="115"/>
      <c r="K119" s="115"/>
      <c r="L119" s="115"/>
      <c r="M119" s="115"/>
      <c r="N119" s="115"/>
      <c r="O119" s="115"/>
      <c r="P119" s="115"/>
      <c r="Q119" s="115"/>
      <c r="R119" s="115"/>
      <c r="S119" s="115"/>
      <c r="T119" s="115"/>
      <c r="U119" s="115"/>
      <c r="AA119" s="115"/>
      <c r="AB119" s="115"/>
    </row>
    <row r="120" spans="9:28" x14ac:dyDescent="0.25">
      <c r="I120" s="115"/>
      <c r="J120" s="115"/>
      <c r="K120" s="115"/>
      <c r="L120" s="115"/>
      <c r="M120" s="115"/>
      <c r="N120" s="115"/>
      <c r="O120" s="115"/>
      <c r="P120" s="115"/>
      <c r="Q120" s="115"/>
      <c r="R120" s="115"/>
      <c r="S120" s="115"/>
      <c r="T120" s="115"/>
      <c r="U120" s="115"/>
      <c r="AA120" s="115"/>
      <c r="AB120" s="115"/>
    </row>
    <row r="121" spans="9:28" x14ac:dyDescent="0.25">
      <c r="I121" s="115"/>
      <c r="J121" s="115"/>
      <c r="K121" s="115"/>
      <c r="L121" s="115"/>
      <c r="M121" s="115"/>
      <c r="N121" s="115"/>
      <c r="O121" s="115"/>
      <c r="P121" s="115"/>
      <c r="Q121" s="115"/>
      <c r="R121" s="115"/>
      <c r="S121" s="115"/>
      <c r="T121" s="115"/>
      <c r="U121" s="115"/>
      <c r="AA121" s="115"/>
      <c r="AB121" s="115"/>
    </row>
    <row r="122" spans="9:28" x14ac:dyDescent="0.25">
      <c r="I122" s="115"/>
      <c r="J122" s="115"/>
      <c r="K122" s="115"/>
      <c r="L122" s="115"/>
      <c r="M122" s="115"/>
      <c r="N122" s="115"/>
      <c r="O122" s="115"/>
      <c r="P122" s="115"/>
      <c r="Q122" s="115"/>
      <c r="R122" s="115"/>
      <c r="S122" s="115"/>
      <c r="T122" s="115"/>
      <c r="U122" s="115"/>
      <c r="AA122" s="115"/>
      <c r="AB122" s="115"/>
    </row>
    <row r="123" spans="9:28" x14ac:dyDescent="0.25">
      <c r="I123" s="115"/>
      <c r="J123" s="115"/>
      <c r="K123" s="115"/>
      <c r="L123" s="115"/>
      <c r="M123" s="115"/>
      <c r="N123" s="115"/>
      <c r="O123" s="115"/>
      <c r="P123" s="115"/>
      <c r="Q123" s="115"/>
      <c r="R123" s="115"/>
      <c r="S123" s="115"/>
      <c r="T123" s="115"/>
      <c r="U123" s="115"/>
      <c r="AA123" s="115"/>
      <c r="AB123" s="115"/>
    </row>
    <row r="124" spans="9:28" x14ac:dyDescent="0.25">
      <c r="I124" s="115"/>
      <c r="J124" s="115"/>
      <c r="K124" s="115"/>
      <c r="L124" s="115"/>
      <c r="M124" s="115"/>
      <c r="N124" s="115"/>
      <c r="O124" s="115"/>
      <c r="P124" s="115"/>
      <c r="Q124" s="115"/>
      <c r="R124" s="115"/>
      <c r="S124" s="115"/>
      <c r="T124" s="115"/>
      <c r="U124" s="115"/>
      <c r="AA124" s="115"/>
      <c r="AB124" s="115"/>
    </row>
    <row r="125" spans="9:28" x14ac:dyDescent="0.25">
      <c r="I125" s="115"/>
      <c r="J125" s="115"/>
      <c r="K125" s="115"/>
      <c r="L125" s="115"/>
      <c r="M125" s="115"/>
      <c r="N125" s="115"/>
      <c r="O125" s="115"/>
      <c r="P125" s="115"/>
      <c r="Q125" s="115"/>
      <c r="R125" s="115"/>
      <c r="S125" s="115"/>
      <c r="T125" s="115"/>
      <c r="U125" s="115"/>
      <c r="AA125" s="115"/>
      <c r="AB125" s="115"/>
    </row>
    <row r="126" spans="9:28" x14ac:dyDescent="0.25">
      <c r="I126" s="115"/>
      <c r="J126" s="115"/>
      <c r="K126" s="115"/>
      <c r="L126" s="115"/>
      <c r="M126" s="115"/>
      <c r="N126" s="115"/>
      <c r="O126" s="115"/>
      <c r="P126" s="115"/>
      <c r="Q126" s="115"/>
      <c r="R126" s="115"/>
      <c r="S126" s="115"/>
      <c r="T126" s="115"/>
      <c r="U126" s="115"/>
      <c r="AA126" s="115"/>
      <c r="AB126" s="115"/>
    </row>
    <row r="127" spans="9:28" x14ac:dyDescent="0.25">
      <c r="I127" s="115"/>
      <c r="J127" s="115"/>
      <c r="K127" s="115"/>
      <c r="L127" s="115"/>
      <c r="M127" s="115"/>
      <c r="N127" s="115"/>
      <c r="O127" s="115"/>
      <c r="P127" s="115"/>
      <c r="Q127" s="115"/>
      <c r="R127" s="115"/>
      <c r="S127" s="115"/>
      <c r="T127" s="115"/>
      <c r="U127" s="115"/>
      <c r="AA127" s="115"/>
      <c r="AB127" s="115"/>
    </row>
    <row r="128" spans="9:28" x14ac:dyDescent="0.25">
      <c r="I128" s="115"/>
      <c r="J128" s="115"/>
      <c r="K128" s="115"/>
      <c r="L128" s="115"/>
      <c r="M128" s="115"/>
      <c r="N128" s="115"/>
      <c r="O128" s="115"/>
      <c r="P128" s="115"/>
      <c r="Q128" s="115"/>
      <c r="R128" s="115"/>
      <c r="S128" s="115"/>
      <c r="T128" s="115"/>
      <c r="U128" s="115"/>
      <c r="AA128" s="115"/>
      <c r="AB128" s="115"/>
    </row>
    <row r="129" spans="9:28" x14ac:dyDescent="0.25">
      <c r="I129" s="115"/>
      <c r="J129" s="115"/>
      <c r="K129" s="115"/>
      <c r="L129" s="115"/>
      <c r="M129" s="115"/>
      <c r="N129" s="115"/>
      <c r="O129" s="115"/>
      <c r="P129" s="115"/>
      <c r="Q129" s="115"/>
      <c r="R129" s="115"/>
      <c r="S129" s="115"/>
      <c r="T129" s="115"/>
      <c r="U129" s="115"/>
      <c r="AA129" s="115"/>
      <c r="AB129" s="115"/>
    </row>
    <row r="130" spans="9:28" x14ac:dyDescent="0.25">
      <c r="I130" s="115"/>
      <c r="J130" s="115"/>
      <c r="K130" s="115"/>
      <c r="L130" s="115"/>
      <c r="M130" s="115"/>
      <c r="N130" s="115"/>
      <c r="O130" s="115"/>
      <c r="P130" s="115"/>
      <c r="Q130" s="115"/>
      <c r="R130" s="115"/>
      <c r="S130" s="115"/>
      <c r="T130" s="115"/>
      <c r="U130" s="115"/>
      <c r="AA130" s="115"/>
      <c r="AB130" s="115"/>
    </row>
    <row r="131" spans="9:28" x14ac:dyDescent="0.25">
      <c r="I131" s="115"/>
      <c r="J131" s="115"/>
      <c r="K131" s="115"/>
      <c r="L131" s="115"/>
      <c r="M131" s="115"/>
      <c r="N131" s="115"/>
      <c r="O131" s="115"/>
      <c r="P131" s="115"/>
      <c r="Q131" s="115"/>
      <c r="R131" s="115"/>
      <c r="S131" s="115"/>
      <c r="T131" s="115"/>
      <c r="U131" s="115"/>
      <c r="AA131" s="115"/>
      <c r="AB131" s="115"/>
    </row>
    <row r="132" spans="9:28" x14ac:dyDescent="0.25">
      <c r="I132" s="115"/>
      <c r="J132" s="115"/>
      <c r="K132" s="115"/>
      <c r="L132" s="115"/>
      <c r="M132" s="115"/>
      <c r="N132" s="115"/>
      <c r="O132" s="115"/>
      <c r="P132" s="115"/>
      <c r="Q132" s="115"/>
      <c r="R132" s="115"/>
      <c r="S132" s="115"/>
      <c r="T132" s="115"/>
      <c r="U132" s="115"/>
      <c r="AA132" s="115"/>
      <c r="AB132" s="115"/>
    </row>
    <row r="133" spans="9:28" x14ac:dyDescent="0.25">
      <c r="I133" s="115"/>
      <c r="J133" s="115"/>
      <c r="K133" s="115"/>
      <c r="L133" s="115"/>
      <c r="M133" s="115"/>
      <c r="N133" s="115"/>
      <c r="O133" s="115"/>
      <c r="P133" s="115"/>
      <c r="Q133" s="115"/>
      <c r="R133" s="115"/>
      <c r="S133" s="115"/>
      <c r="T133" s="115"/>
      <c r="U133" s="115"/>
      <c r="AA133" s="115"/>
      <c r="AB133" s="115"/>
    </row>
    <row r="134" spans="9:28" x14ac:dyDescent="0.25">
      <c r="I134" s="115"/>
      <c r="J134" s="115"/>
      <c r="K134" s="115"/>
      <c r="L134" s="115"/>
      <c r="M134" s="115"/>
      <c r="N134" s="115"/>
      <c r="O134" s="115"/>
      <c r="P134" s="115"/>
      <c r="Q134" s="115"/>
      <c r="R134" s="115"/>
      <c r="S134" s="115"/>
      <c r="T134" s="115"/>
      <c r="U134" s="115"/>
      <c r="AA134" s="115"/>
      <c r="AB134" s="115"/>
    </row>
    <row r="135" spans="9:28" x14ac:dyDescent="0.25">
      <c r="I135" s="115"/>
      <c r="J135" s="115"/>
      <c r="K135" s="115"/>
      <c r="L135" s="115"/>
      <c r="M135" s="115"/>
      <c r="N135" s="115"/>
      <c r="O135" s="115"/>
      <c r="P135" s="115"/>
      <c r="Q135" s="115"/>
      <c r="R135" s="115"/>
      <c r="S135" s="115"/>
      <c r="T135" s="115"/>
      <c r="U135" s="115"/>
      <c r="AA135" s="115"/>
      <c r="AB135" s="115"/>
    </row>
    <row r="136" spans="9:28" x14ac:dyDescent="0.25">
      <c r="I136" s="115"/>
      <c r="J136" s="115"/>
      <c r="K136" s="115"/>
      <c r="L136" s="115"/>
      <c r="M136" s="115"/>
      <c r="N136" s="115"/>
      <c r="O136" s="115"/>
      <c r="P136" s="115"/>
      <c r="Q136" s="115"/>
      <c r="R136" s="115"/>
      <c r="S136" s="115"/>
      <c r="T136" s="115"/>
      <c r="U136" s="115"/>
      <c r="AA136" s="115"/>
      <c r="AB136" s="115"/>
    </row>
    <row r="137" spans="9:28" x14ac:dyDescent="0.25">
      <c r="I137" s="115"/>
      <c r="J137" s="115"/>
      <c r="K137" s="115"/>
      <c r="L137" s="115"/>
      <c r="M137" s="115"/>
      <c r="N137" s="115"/>
      <c r="O137" s="115"/>
      <c r="P137" s="115"/>
      <c r="Q137" s="115"/>
      <c r="R137" s="115"/>
      <c r="S137" s="115"/>
      <c r="T137" s="115"/>
      <c r="U137" s="115"/>
      <c r="AA137" s="115"/>
      <c r="AB137" s="115"/>
    </row>
    <row r="138" spans="9:28" x14ac:dyDescent="0.25">
      <c r="I138" s="115"/>
      <c r="J138" s="115"/>
      <c r="K138" s="115"/>
      <c r="L138" s="115"/>
      <c r="M138" s="115"/>
      <c r="N138" s="115"/>
      <c r="O138" s="115"/>
      <c r="P138" s="115"/>
      <c r="Q138" s="115"/>
      <c r="R138" s="115"/>
      <c r="S138" s="115"/>
      <c r="T138" s="115"/>
      <c r="U138" s="115"/>
      <c r="AA138" s="115"/>
      <c r="AB138" s="115"/>
    </row>
    <row r="139" spans="9:28" x14ac:dyDescent="0.25">
      <c r="I139" s="115"/>
      <c r="J139" s="115"/>
      <c r="K139" s="115"/>
      <c r="L139" s="115"/>
      <c r="M139" s="115"/>
      <c r="N139" s="115"/>
      <c r="O139" s="115"/>
      <c r="P139" s="115"/>
      <c r="Q139" s="115"/>
      <c r="R139" s="115"/>
      <c r="S139" s="115"/>
      <c r="T139" s="115"/>
      <c r="U139" s="115"/>
      <c r="AA139" s="115"/>
      <c r="AB139" s="115"/>
    </row>
    <row r="140" spans="9:28" x14ac:dyDescent="0.25">
      <c r="I140" s="115"/>
      <c r="J140" s="115"/>
      <c r="K140" s="115"/>
      <c r="L140" s="115"/>
      <c r="M140" s="115"/>
      <c r="N140" s="115"/>
      <c r="O140" s="115"/>
      <c r="P140" s="115"/>
      <c r="Q140" s="115"/>
      <c r="R140" s="115"/>
      <c r="S140" s="115"/>
      <c r="T140" s="115"/>
      <c r="U140" s="115"/>
      <c r="AA140" s="115"/>
      <c r="AB140" s="115"/>
    </row>
    <row r="141" spans="9:28" x14ac:dyDescent="0.25">
      <c r="I141" s="115"/>
      <c r="J141" s="115"/>
      <c r="K141" s="115"/>
      <c r="L141" s="115"/>
      <c r="M141" s="115"/>
      <c r="N141" s="115"/>
      <c r="O141" s="115"/>
      <c r="P141" s="115"/>
      <c r="Q141" s="115"/>
      <c r="R141" s="115"/>
      <c r="S141" s="115"/>
      <c r="T141" s="115"/>
      <c r="U141" s="115"/>
      <c r="AA141" s="115"/>
      <c r="AB141" s="115"/>
    </row>
    <row r="142" spans="9:28" x14ac:dyDescent="0.25">
      <c r="I142" s="115"/>
      <c r="J142" s="115"/>
      <c r="K142" s="115"/>
      <c r="L142" s="115"/>
      <c r="M142" s="115"/>
      <c r="N142" s="115"/>
      <c r="O142" s="115"/>
      <c r="P142" s="115"/>
      <c r="Q142" s="115"/>
      <c r="R142" s="115"/>
      <c r="S142" s="115"/>
      <c r="T142" s="115"/>
      <c r="U142" s="115"/>
      <c r="AA142" s="115"/>
      <c r="AB142" s="115"/>
    </row>
    <row r="143" spans="9:28" x14ac:dyDescent="0.25">
      <c r="I143" s="115"/>
      <c r="J143" s="115"/>
      <c r="K143" s="115"/>
      <c r="L143" s="115"/>
      <c r="M143" s="115"/>
      <c r="N143" s="115"/>
      <c r="O143" s="115"/>
      <c r="P143" s="115"/>
      <c r="Q143" s="115"/>
      <c r="R143" s="115"/>
      <c r="S143" s="115"/>
      <c r="T143" s="115"/>
      <c r="U143" s="115"/>
      <c r="AA143" s="115"/>
      <c r="AB143" s="115"/>
    </row>
    <row r="144" spans="9:28" x14ac:dyDescent="0.25">
      <c r="I144" s="115"/>
      <c r="J144" s="115"/>
      <c r="K144" s="115"/>
      <c r="L144" s="115"/>
      <c r="M144" s="115"/>
      <c r="N144" s="115"/>
      <c r="O144" s="115"/>
      <c r="P144" s="115"/>
      <c r="Q144" s="115"/>
      <c r="R144" s="115"/>
      <c r="S144" s="115"/>
      <c r="T144" s="115"/>
      <c r="U144" s="115"/>
      <c r="AA144" s="115"/>
      <c r="AB144" s="115"/>
    </row>
    <row r="145" spans="9:28" ht="23" x14ac:dyDescent="0.3">
      <c r="I145" s="115"/>
      <c r="J145" s="116"/>
      <c r="K145" s="116"/>
      <c r="L145" s="116"/>
      <c r="M145" s="116"/>
      <c r="N145" s="116"/>
      <c r="O145" s="115"/>
      <c r="P145" s="115"/>
      <c r="Q145" s="115"/>
      <c r="R145" s="115"/>
      <c r="S145" s="115"/>
      <c r="T145" s="115"/>
      <c r="U145" s="115"/>
      <c r="AA145" s="115"/>
      <c r="AB145" s="115"/>
    </row>
    <row r="146" spans="9:28" x14ac:dyDescent="0.25">
      <c r="I146" s="115"/>
      <c r="J146" s="115"/>
      <c r="K146" s="115"/>
      <c r="L146" s="115"/>
      <c r="M146" s="115"/>
      <c r="N146" s="115"/>
      <c r="O146" s="115"/>
      <c r="P146" s="115"/>
      <c r="Q146" s="115"/>
      <c r="R146" s="115"/>
      <c r="S146" s="115"/>
      <c r="T146" s="115"/>
      <c r="U146" s="115"/>
      <c r="AA146" s="115"/>
      <c r="AB146" s="115"/>
    </row>
    <row r="147" spans="9:28" x14ac:dyDescent="0.25">
      <c r="I147" s="115"/>
      <c r="J147" s="115"/>
      <c r="K147" s="115"/>
      <c r="L147" s="115"/>
      <c r="M147" s="115"/>
      <c r="N147" s="115"/>
      <c r="O147" s="115"/>
      <c r="P147" s="115"/>
      <c r="Q147" s="115"/>
      <c r="R147" s="115"/>
      <c r="S147" s="115"/>
      <c r="T147" s="115"/>
      <c r="U147" s="115"/>
      <c r="AA147" s="115"/>
      <c r="AB147" s="115"/>
    </row>
    <row r="148" spans="9:28" x14ac:dyDescent="0.25">
      <c r="I148" s="115"/>
      <c r="J148" s="115"/>
      <c r="K148" s="115"/>
      <c r="L148" s="115"/>
      <c r="M148" s="115"/>
      <c r="N148" s="115"/>
      <c r="O148" s="115"/>
      <c r="P148" s="115"/>
      <c r="Q148" s="115"/>
      <c r="R148" s="115"/>
      <c r="S148" s="115"/>
      <c r="T148" s="115"/>
      <c r="U148" s="115"/>
      <c r="AA148" s="115"/>
      <c r="AB148" s="115"/>
    </row>
    <row r="149" spans="9:28" x14ac:dyDescent="0.25">
      <c r="I149" s="115"/>
      <c r="J149" s="115"/>
      <c r="K149" s="115"/>
      <c r="L149" s="115"/>
      <c r="M149" s="115"/>
      <c r="N149" s="115"/>
      <c r="O149" s="115"/>
      <c r="P149" s="115"/>
      <c r="Q149" s="115"/>
      <c r="R149" s="115"/>
      <c r="S149" s="115"/>
      <c r="T149" s="115"/>
      <c r="U149" s="115"/>
      <c r="AA149" s="115"/>
      <c r="AB149" s="115"/>
    </row>
    <row r="150" spans="9:28" x14ac:dyDescent="0.25">
      <c r="I150" s="115"/>
      <c r="J150" s="115"/>
      <c r="K150" s="115"/>
      <c r="L150" s="115"/>
      <c r="M150" s="115"/>
      <c r="N150" s="115"/>
      <c r="O150" s="115"/>
      <c r="P150" s="115"/>
      <c r="Q150" s="115"/>
      <c r="R150" s="115"/>
      <c r="S150" s="115"/>
      <c r="T150" s="115"/>
      <c r="U150" s="115"/>
      <c r="AA150" s="115"/>
      <c r="AB150" s="115"/>
    </row>
    <row r="151" spans="9:28" x14ac:dyDescent="0.25">
      <c r="I151" s="115"/>
      <c r="J151" s="115"/>
      <c r="K151" s="115"/>
      <c r="L151" s="115"/>
      <c r="M151" s="115"/>
      <c r="N151" s="115"/>
      <c r="O151" s="115"/>
      <c r="P151" s="115"/>
      <c r="Q151" s="115"/>
      <c r="R151" s="115"/>
      <c r="S151" s="115"/>
      <c r="T151" s="115"/>
      <c r="U151" s="115"/>
      <c r="AA151" s="115"/>
      <c r="AB151" s="115"/>
    </row>
    <row r="152" spans="9:28" ht="23" x14ac:dyDescent="0.3">
      <c r="I152" s="115"/>
      <c r="J152" s="116"/>
      <c r="K152" s="116"/>
      <c r="L152" s="116"/>
      <c r="M152" s="115"/>
      <c r="N152" s="115"/>
      <c r="O152" s="115"/>
      <c r="P152" s="115"/>
      <c r="Q152" s="115"/>
      <c r="R152" s="115"/>
      <c r="S152" s="115"/>
      <c r="T152" s="115"/>
      <c r="U152" s="115"/>
      <c r="AA152" s="115"/>
      <c r="AB152" s="115"/>
    </row>
    <row r="153" spans="9:28" x14ac:dyDescent="0.25">
      <c r="I153" s="115"/>
      <c r="J153" s="115"/>
      <c r="K153" s="115"/>
      <c r="L153" s="115"/>
      <c r="M153" s="115"/>
      <c r="N153" s="115"/>
      <c r="O153" s="115"/>
      <c r="P153" s="115"/>
      <c r="Q153" s="115"/>
      <c r="R153" s="115"/>
      <c r="S153" s="115"/>
      <c r="T153" s="115"/>
      <c r="U153" s="115"/>
      <c r="AA153" s="115"/>
      <c r="AB153" s="115"/>
    </row>
    <row r="154" spans="9:28" x14ac:dyDescent="0.25">
      <c r="I154" s="115"/>
      <c r="J154" s="115"/>
      <c r="K154" s="115"/>
      <c r="L154" s="115"/>
      <c r="M154" s="115"/>
      <c r="N154" s="115"/>
      <c r="O154" s="115"/>
      <c r="P154" s="115"/>
      <c r="Q154" s="115"/>
      <c r="R154" s="115"/>
      <c r="S154" s="115"/>
      <c r="T154" s="115"/>
      <c r="U154" s="115"/>
      <c r="AA154" s="115"/>
      <c r="AB154" s="115"/>
    </row>
    <row r="155" spans="9:28" x14ac:dyDescent="0.25">
      <c r="I155" s="115"/>
      <c r="J155" s="115"/>
      <c r="K155" s="115"/>
      <c r="L155" s="115"/>
      <c r="M155" s="115"/>
      <c r="N155" s="115"/>
      <c r="O155" s="115"/>
      <c r="P155" s="115"/>
      <c r="Q155" s="115"/>
      <c r="R155" s="115"/>
      <c r="S155" s="115"/>
      <c r="T155" s="115"/>
      <c r="U155" s="115"/>
      <c r="AA155" s="115"/>
      <c r="AB155" s="115"/>
    </row>
    <row r="156" spans="9:28" x14ac:dyDescent="0.25">
      <c r="I156" s="115"/>
      <c r="J156" s="115"/>
      <c r="K156" s="115"/>
      <c r="L156" s="115"/>
      <c r="M156" s="115"/>
      <c r="N156" s="115"/>
      <c r="O156" s="115"/>
      <c r="P156" s="115"/>
      <c r="Q156" s="115"/>
      <c r="R156" s="115"/>
      <c r="S156" s="115"/>
      <c r="T156" s="115"/>
      <c r="U156" s="115"/>
      <c r="AA156" s="115"/>
      <c r="AB156" s="115"/>
    </row>
    <row r="157" spans="9:28" x14ac:dyDescent="0.25">
      <c r="I157" s="115"/>
      <c r="J157" s="115"/>
      <c r="K157" s="115"/>
      <c r="L157" s="115"/>
      <c r="M157" s="115"/>
      <c r="N157" s="115"/>
      <c r="O157" s="115"/>
      <c r="P157" s="115"/>
      <c r="Q157" s="115"/>
      <c r="R157" s="115"/>
      <c r="S157" s="115"/>
      <c r="T157" s="115"/>
      <c r="U157" s="115"/>
      <c r="AA157" s="115"/>
      <c r="AB157" s="115"/>
    </row>
    <row r="158" spans="9:28" x14ac:dyDescent="0.25">
      <c r="I158" s="115"/>
      <c r="J158" s="115"/>
      <c r="K158" s="115"/>
      <c r="L158" s="115"/>
      <c r="M158" s="115"/>
      <c r="N158" s="115"/>
      <c r="O158" s="115"/>
      <c r="P158" s="115"/>
      <c r="Q158" s="115"/>
      <c r="R158" s="115"/>
      <c r="S158" s="115"/>
      <c r="T158" s="115"/>
      <c r="U158" s="115"/>
      <c r="AA158" s="115"/>
      <c r="AB158" s="115"/>
    </row>
    <row r="159" spans="9:28" x14ac:dyDescent="0.25">
      <c r="I159" s="115"/>
      <c r="J159" s="115"/>
      <c r="K159" s="115"/>
      <c r="L159" s="115"/>
      <c r="M159" s="115"/>
      <c r="N159" s="115"/>
      <c r="O159" s="115"/>
      <c r="P159" s="115"/>
      <c r="Q159" s="115"/>
      <c r="R159" s="115"/>
      <c r="S159" s="115"/>
      <c r="T159" s="115"/>
      <c r="U159" s="115"/>
      <c r="AA159" s="115"/>
      <c r="AB159" s="115"/>
    </row>
    <row r="160" spans="9:28" x14ac:dyDescent="0.25">
      <c r="I160" s="115"/>
      <c r="J160" s="115"/>
      <c r="K160" s="115"/>
      <c r="L160" s="115"/>
      <c r="M160" s="115"/>
      <c r="N160" s="115"/>
      <c r="O160" s="115"/>
      <c r="P160" s="115"/>
      <c r="Q160" s="115"/>
      <c r="R160" s="115"/>
      <c r="S160" s="115"/>
      <c r="T160" s="115"/>
      <c r="U160" s="115"/>
      <c r="AA160" s="115"/>
      <c r="AB160" s="115"/>
    </row>
    <row r="161" spans="9:28" x14ac:dyDescent="0.25">
      <c r="I161" s="115"/>
      <c r="J161" s="115"/>
      <c r="K161" s="115"/>
      <c r="L161" s="115"/>
      <c r="M161" s="115"/>
      <c r="N161" s="115"/>
      <c r="O161" s="115"/>
      <c r="P161" s="115"/>
      <c r="Q161" s="115"/>
      <c r="R161" s="115"/>
      <c r="S161" s="115"/>
      <c r="T161" s="115"/>
      <c r="U161" s="115"/>
      <c r="AA161" s="115"/>
      <c r="AB161" s="115"/>
    </row>
    <row r="162" spans="9:28" x14ac:dyDescent="0.25">
      <c r="I162" s="115"/>
      <c r="J162" s="115"/>
      <c r="K162" s="115"/>
      <c r="L162" s="115"/>
      <c r="M162" s="115"/>
      <c r="N162" s="115"/>
      <c r="O162" s="115"/>
      <c r="P162" s="115"/>
      <c r="Q162" s="115"/>
      <c r="R162" s="115"/>
      <c r="S162" s="115"/>
      <c r="T162" s="115"/>
      <c r="U162" s="115"/>
      <c r="AA162" s="115"/>
      <c r="AB162" s="115"/>
    </row>
    <row r="163" spans="9:28" x14ac:dyDescent="0.25">
      <c r="I163" s="115"/>
      <c r="J163" s="115"/>
      <c r="K163" s="115"/>
      <c r="L163" s="115"/>
      <c r="M163" s="115"/>
      <c r="N163" s="115"/>
      <c r="O163" s="115"/>
      <c r="P163" s="115"/>
      <c r="Q163" s="115"/>
      <c r="R163" s="115"/>
      <c r="S163" s="115"/>
      <c r="T163" s="115"/>
      <c r="U163" s="115"/>
      <c r="AA163" s="115"/>
      <c r="AB163" s="115"/>
    </row>
    <row r="164" spans="9:28" x14ac:dyDescent="0.25">
      <c r="I164" s="115"/>
      <c r="J164" s="115"/>
      <c r="K164" s="115"/>
      <c r="L164" s="115"/>
      <c r="M164" s="115"/>
      <c r="N164" s="115"/>
      <c r="O164" s="115"/>
      <c r="P164" s="115"/>
      <c r="Q164" s="115"/>
      <c r="R164" s="115"/>
      <c r="S164" s="115"/>
      <c r="T164" s="115"/>
      <c r="U164" s="115"/>
      <c r="AA164" s="115"/>
      <c r="AB164" s="115"/>
    </row>
    <row r="165" spans="9:28" x14ac:dyDescent="0.25">
      <c r="I165" s="115"/>
      <c r="J165" s="115"/>
      <c r="K165" s="115"/>
      <c r="L165" s="115"/>
      <c r="M165" s="115"/>
      <c r="N165" s="115"/>
      <c r="O165" s="115"/>
      <c r="P165" s="115"/>
      <c r="Q165" s="115"/>
      <c r="R165" s="115"/>
      <c r="S165" s="115"/>
      <c r="T165" s="115"/>
      <c r="U165" s="115"/>
      <c r="AA165" s="115"/>
      <c r="AB165" s="115"/>
    </row>
    <row r="166" spans="9:28" x14ac:dyDescent="0.25">
      <c r="I166" s="115"/>
      <c r="J166" s="115"/>
      <c r="K166" s="115"/>
      <c r="L166" s="115"/>
      <c r="M166" s="115"/>
      <c r="N166" s="115"/>
      <c r="O166" s="115"/>
      <c r="P166" s="115"/>
      <c r="Q166" s="115"/>
      <c r="R166" s="115"/>
      <c r="S166" s="115"/>
      <c r="T166" s="115"/>
      <c r="U166" s="115"/>
      <c r="AA166" s="115"/>
      <c r="AB166" s="115"/>
    </row>
    <row r="167" spans="9:28" x14ac:dyDescent="0.25">
      <c r="I167" s="115"/>
      <c r="J167" s="115"/>
      <c r="K167" s="115"/>
      <c r="L167" s="115"/>
      <c r="M167" s="115"/>
      <c r="N167" s="115"/>
      <c r="O167" s="115"/>
      <c r="P167" s="115"/>
      <c r="Q167" s="115"/>
      <c r="R167" s="115"/>
      <c r="S167" s="115"/>
      <c r="T167" s="115"/>
      <c r="U167" s="115"/>
      <c r="AA167" s="115"/>
      <c r="AB167" s="115"/>
    </row>
    <row r="168" spans="9:28" x14ac:dyDescent="0.25">
      <c r="I168" s="115"/>
      <c r="J168" s="115"/>
      <c r="K168" s="115"/>
      <c r="L168" s="115"/>
      <c r="M168" s="115"/>
      <c r="N168" s="115"/>
      <c r="O168" s="115"/>
      <c r="P168" s="115"/>
      <c r="Q168" s="115"/>
      <c r="R168" s="115"/>
      <c r="S168" s="115"/>
      <c r="T168" s="115"/>
      <c r="U168" s="115"/>
      <c r="AA168" s="115"/>
      <c r="AB168" s="115"/>
    </row>
    <row r="169" spans="9:28" x14ac:dyDescent="0.25">
      <c r="I169" s="115"/>
      <c r="J169" s="115"/>
      <c r="K169" s="115"/>
      <c r="L169" s="115"/>
      <c r="M169" s="115"/>
      <c r="N169" s="115"/>
      <c r="O169" s="115"/>
      <c r="P169" s="115"/>
      <c r="Q169" s="115"/>
      <c r="R169" s="115"/>
      <c r="S169" s="115"/>
      <c r="T169" s="115"/>
      <c r="U169" s="115"/>
      <c r="AA169" s="115"/>
      <c r="AB169" s="115"/>
    </row>
    <row r="170" spans="9:28" x14ac:dyDescent="0.25">
      <c r="I170" s="115"/>
      <c r="J170" s="115"/>
      <c r="K170" s="115"/>
      <c r="L170" s="115"/>
      <c r="M170" s="115"/>
      <c r="N170" s="115"/>
      <c r="O170" s="115"/>
      <c r="P170" s="115"/>
      <c r="Q170" s="115"/>
      <c r="R170" s="115"/>
      <c r="S170" s="115"/>
      <c r="T170" s="115"/>
      <c r="U170" s="115"/>
      <c r="AA170" s="115"/>
      <c r="AB170" s="115"/>
    </row>
    <row r="171" spans="9:28" x14ac:dyDescent="0.25">
      <c r="I171" s="115"/>
      <c r="J171" s="115"/>
      <c r="K171" s="115"/>
      <c r="L171" s="115"/>
      <c r="M171" s="115"/>
      <c r="N171" s="115"/>
      <c r="O171" s="115"/>
      <c r="P171" s="115"/>
      <c r="Q171" s="115"/>
      <c r="R171" s="115"/>
      <c r="S171" s="115"/>
      <c r="T171" s="115"/>
      <c r="U171" s="115"/>
      <c r="AA171" s="115"/>
      <c r="AB171" s="115"/>
    </row>
    <row r="172" spans="9:28" x14ac:dyDescent="0.25">
      <c r="I172" s="115"/>
      <c r="J172" s="115"/>
      <c r="K172" s="115"/>
      <c r="L172" s="115"/>
      <c r="M172" s="115"/>
      <c r="N172" s="115"/>
      <c r="O172" s="115"/>
      <c r="P172" s="115"/>
      <c r="Q172" s="115"/>
      <c r="R172" s="115"/>
      <c r="S172" s="115"/>
      <c r="T172" s="115"/>
      <c r="U172" s="115"/>
      <c r="AA172" s="115"/>
      <c r="AB172" s="115"/>
    </row>
    <row r="173" spans="9:28" x14ac:dyDescent="0.25">
      <c r="I173" s="115"/>
      <c r="J173" s="115"/>
      <c r="K173" s="115"/>
      <c r="L173" s="115"/>
      <c r="M173" s="115"/>
      <c r="N173" s="115"/>
      <c r="O173" s="115"/>
      <c r="P173" s="115"/>
      <c r="Q173" s="115"/>
      <c r="R173" s="115"/>
      <c r="S173" s="115"/>
      <c r="T173" s="115"/>
      <c r="U173" s="115"/>
      <c r="AA173" s="115"/>
      <c r="AB173" s="115"/>
    </row>
    <row r="174" spans="9:28" x14ac:dyDescent="0.25">
      <c r="I174" s="115"/>
      <c r="J174" s="115"/>
      <c r="K174" s="115"/>
      <c r="L174" s="115"/>
      <c r="M174" s="115"/>
      <c r="N174" s="115"/>
      <c r="O174" s="115"/>
      <c r="P174" s="115"/>
      <c r="Q174" s="115"/>
      <c r="R174" s="115"/>
      <c r="S174" s="115"/>
      <c r="T174" s="115"/>
      <c r="U174" s="115"/>
      <c r="AA174" s="115"/>
      <c r="AB174" s="115"/>
    </row>
    <row r="175" spans="9:28" x14ac:dyDescent="0.25">
      <c r="I175" s="115"/>
      <c r="J175" s="115"/>
      <c r="K175" s="115"/>
      <c r="L175" s="115"/>
      <c r="M175" s="115"/>
      <c r="N175" s="115"/>
      <c r="O175" s="115"/>
      <c r="P175" s="115"/>
      <c r="Q175" s="115"/>
      <c r="R175" s="115"/>
      <c r="S175" s="115"/>
      <c r="T175" s="115"/>
      <c r="U175" s="115"/>
      <c r="AA175" s="115"/>
      <c r="AB175" s="115"/>
    </row>
    <row r="176" spans="9:28" x14ac:dyDescent="0.25">
      <c r="I176" s="115"/>
      <c r="J176" s="115"/>
      <c r="K176" s="115"/>
      <c r="L176" s="115"/>
      <c r="M176" s="115"/>
      <c r="N176" s="115"/>
      <c r="O176" s="115"/>
      <c r="P176" s="115"/>
      <c r="Q176" s="115"/>
      <c r="R176" s="115"/>
      <c r="S176" s="115"/>
      <c r="T176" s="115"/>
      <c r="U176" s="115"/>
      <c r="AA176" s="115"/>
      <c r="AB176" s="115"/>
    </row>
    <row r="177" spans="9:28" x14ac:dyDescent="0.25">
      <c r="I177" s="115"/>
      <c r="J177" s="115"/>
      <c r="K177" s="115"/>
      <c r="L177" s="115"/>
      <c r="M177" s="115"/>
      <c r="N177" s="115"/>
      <c r="O177" s="115"/>
      <c r="P177" s="115"/>
      <c r="Q177" s="115"/>
      <c r="R177" s="115"/>
      <c r="S177" s="115"/>
      <c r="T177" s="115"/>
      <c r="U177" s="115"/>
      <c r="AA177" s="115"/>
      <c r="AB177" s="115"/>
    </row>
    <row r="178" spans="9:28" x14ac:dyDescent="0.25">
      <c r="I178" s="115"/>
      <c r="J178" s="115"/>
      <c r="K178" s="115"/>
      <c r="L178" s="115"/>
      <c r="M178" s="115"/>
      <c r="N178" s="115"/>
      <c r="O178" s="115"/>
      <c r="P178" s="115"/>
      <c r="Q178" s="115"/>
      <c r="R178" s="115"/>
      <c r="S178" s="115"/>
      <c r="T178" s="115"/>
      <c r="U178" s="115"/>
      <c r="AA178" s="115"/>
      <c r="AB178" s="115"/>
    </row>
    <row r="179" spans="9:28" x14ac:dyDescent="0.25">
      <c r="I179" s="115"/>
      <c r="J179" s="115"/>
      <c r="K179" s="115"/>
      <c r="L179" s="115"/>
      <c r="M179" s="115"/>
      <c r="N179" s="115"/>
      <c r="O179" s="115"/>
      <c r="P179" s="115"/>
      <c r="Q179" s="115"/>
      <c r="R179" s="115"/>
      <c r="S179" s="115"/>
      <c r="T179" s="115"/>
      <c r="U179" s="115"/>
      <c r="AA179" s="115"/>
      <c r="AB179" s="115"/>
    </row>
    <row r="180" spans="9:28" x14ac:dyDescent="0.25">
      <c r="I180" s="115"/>
      <c r="J180" s="115"/>
      <c r="K180" s="115"/>
      <c r="L180" s="115"/>
      <c r="M180" s="115"/>
      <c r="N180" s="115"/>
      <c r="O180" s="115"/>
      <c r="P180" s="115"/>
      <c r="Q180" s="115"/>
      <c r="R180" s="115"/>
      <c r="S180" s="115"/>
      <c r="T180" s="115"/>
      <c r="U180" s="115"/>
      <c r="AA180" s="115"/>
      <c r="AB180" s="115"/>
    </row>
    <row r="181" spans="9:28" x14ac:dyDescent="0.25">
      <c r="I181" s="115"/>
      <c r="J181" s="115"/>
      <c r="K181" s="115"/>
      <c r="L181" s="115"/>
      <c r="M181" s="115"/>
      <c r="N181" s="115"/>
      <c r="O181" s="115"/>
      <c r="P181" s="115"/>
      <c r="Q181" s="115"/>
      <c r="R181" s="115"/>
      <c r="S181" s="115"/>
      <c r="T181" s="115"/>
      <c r="U181" s="115"/>
      <c r="AA181" s="115"/>
      <c r="AB181" s="115"/>
    </row>
    <row r="182" spans="9:28" x14ac:dyDescent="0.25">
      <c r="I182" s="115"/>
      <c r="J182" s="115"/>
      <c r="K182" s="115"/>
      <c r="L182" s="115"/>
      <c r="M182" s="115"/>
      <c r="N182" s="115"/>
      <c r="O182" s="115"/>
      <c r="P182" s="115"/>
      <c r="Q182" s="115"/>
      <c r="R182" s="115"/>
      <c r="S182" s="115"/>
      <c r="T182" s="115"/>
      <c r="U182" s="115"/>
      <c r="AA182" s="115"/>
      <c r="AB182" s="115"/>
    </row>
    <row r="183" spans="9:28" x14ac:dyDescent="0.25">
      <c r="I183" s="115"/>
      <c r="J183" s="115"/>
      <c r="K183" s="115"/>
      <c r="L183" s="115"/>
      <c r="M183" s="115"/>
      <c r="N183" s="115"/>
      <c r="O183" s="115"/>
      <c r="P183" s="115"/>
      <c r="Q183" s="115"/>
      <c r="R183" s="115"/>
      <c r="S183" s="115"/>
      <c r="T183" s="115"/>
      <c r="U183" s="115"/>
      <c r="AA183" s="115"/>
      <c r="AB183" s="115"/>
    </row>
    <row r="184" spans="9:28" x14ac:dyDescent="0.25">
      <c r="I184" s="115"/>
      <c r="J184" s="115"/>
      <c r="K184" s="115"/>
      <c r="L184" s="115"/>
      <c r="M184" s="115"/>
      <c r="N184" s="115"/>
      <c r="O184" s="115"/>
      <c r="P184" s="115"/>
      <c r="Q184" s="115"/>
      <c r="R184" s="115"/>
      <c r="S184" s="115"/>
      <c r="T184" s="115"/>
      <c r="U184" s="115"/>
      <c r="AA184" s="115"/>
      <c r="AB184" s="115"/>
    </row>
    <row r="185" spans="9:28" x14ac:dyDescent="0.25">
      <c r="I185" s="115"/>
      <c r="J185" s="115"/>
      <c r="K185" s="115"/>
      <c r="L185" s="115"/>
      <c r="M185" s="115"/>
      <c r="N185" s="115"/>
      <c r="O185" s="115"/>
      <c r="P185" s="115"/>
      <c r="Q185" s="115"/>
      <c r="R185" s="115"/>
      <c r="S185" s="115"/>
      <c r="T185" s="115"/>
      <c r="U185" s="115"/>
      <c r="AA185" s="115"/>
      <c r="AB185" s="115"/>
    </row>
    <row r="186" spans="9:28" x14ac:dyDescent="0.25">
      <c r="I186" s="115"/>
      <c r="J186" s="115"/>
      <c r="K186" s="115"/>
      <c r="L186" s="115"/>
      <c r="M186" s="115"/>
      <c r="N186" s="115"/>
      <c r="O186" s="115"/>
      <c r="P186" s="115"/>
      <c r="Q186" s="115"/>
      <c r="R186" s="115"/>
      <c r="S186" s="115"/>
      <c r="T186" s="115"/>
      <c r="U186" s="115"/>
      <c r="AA186" s="115"/>
      <c r="AB186" s="115"/>
    </row>
    <row r="187" spans="9:28" x14ac:dyDescent="0.25">
      <c r="I187" s="115"/>
      <c r="J187" s="115"/>
      <c r="K187" s="115"/>
      <c r="L187" s="115"/>
      <c r="M187" s="115"/>
      <c r="N187" s="115"/>
      <c r="O187" s="115"/>
      <c r="P187" s="115"/>
      <c r="Q187" s="115"/>
      <c r="R187" s="115"/>
      <c r="S187" s="115"/>
      <c r="T187" s="115"/>
      <c r="U187" s="115"/>
      <c r="AA187" s="115"/>
      <c r="AB187" s="115"/>
    </row>
    <row r="188" spans="9:28" x14ac:dyDescent="0.25">
      <c r="I188" s="115"/>
      <c r="J188" s="115"/>
      <c r="K188" s="115"/>
      <c r="L188" s="115"/>
      <c r="M188" s="115"/>
      <c r="N188" s="115"/>
      <c r="O188" s="115"/>
      <c r="P188" s="115"/>
      <c r="Q188" s="115"/>
      <c r="R188" s="115"/>
      <c r="S188" s="115"/>
      <c r="T188" s="115"/>
      <c r="U188" s="115"/>
      <c r="AA188" s="115"/>
      <c r="AB188" s="115"/>
    </row>
    <row r="189" spans="9:28" x14ac:dyDescent="0.25">
      <c r="I189" s="115"/>
      <c r="J189" s="115"/>
      <c r="K189" s="115"/>
      <c r="L189" s="115"/>
      <c r="M189" s="115"/>
      <c r="N189" s="115"/>
      <c r="O189" s="115"/>
      <c r="P189" s="115"/>
      <c r="Q189" s="115"/>
      <c r="R189" s="115"/>
      <c r="S189" s="115"/>
      <c r="T189" s="115"/>
      <c r="U189" s="115"/>
      <c r="AA189" s="115"/>
      <c r="AB189" s="115"/>
    </row>
    <row r="190" spans="9:28" x14ac:dyDescent="0.25">
      <c r="I190" s="115"/>
      <c r="J190" s="115"/>
      <c r="K190" s="115"/>
      <c r="L190" s="115"/>
      <c r="M190" s="115"/>
      <c r="N190" s="115"/>
      <c r="O190" s="115"/>
      <c r="P190" s="115"/>
      <c r="Q190" s="115"/>
      <c r="R190" s="115"/>
      <c r="S190" s="115"/>
      <c r="T190" s="115"/>
      <c r="U190" s="115"/>
      <c r="AA190" s="115"/>
      <c r="AB190" s="115"/>
    </row>
    <row r="191" spans="9:28" x14ac:dyDescent="0.25">
      <c r="I191" s="115"/>
      <c r="J191" s="115"/>
      <c r="K191" s="115"/>
      <c r="L191" s="115"/>
      <c r="M191" s="115"/>
      <c r="N191" s="115"/>
      <c r="O191" s="115"/>
      <c r="P191" s="115"/>
      <c r="Q191" s="115"/>
      <c r="R191" s="115"/>
      <c r="S191" s="115"/>
      <c r="T191" s="115"/>
      <c r="U191" s="115"/>
      <c r="AA191" s="115"/>
      <c r="AB191" s="115"/>
    </row>
    <row r="192" spans="9:28" x14ac:dyDescent="0.25">
      <c r="I192" s="115"/>
      <c r="J192" s="115"/>
      <c r="K192" s="115"/>
      <c r="L192" s="115"/>
      <c r="M192" s="115"/>
      <c r="N192" s="115"/>
      <c r="O192" s="115"/>
      <c r="P192" s="115"/>
      <c r="Q192" s="115"/>
      <c r="R192" s="115"/>
      <c r="S192" s="115"/>
      <c r="T192" s="115"/>
      <c r="U192" s="115"/>
      <c r="AA192" s="115"/>
      <c r="AB192" s="115"/>
    </row>
    <row r="193" spans="9:28" x14ac:dyDescent="0.25">
      <c r="I193" s="115"/>
      <c r="J193" s="115"/>
      <c r="K193" s="115"/>
      <c r="L193" s="115"/>
      <c r="M193" s="115"/>
      <c r="N193" s="115"/>
      <c r="O193" s="115"/>
      <c r="P193" s="115"/>
      <c r="Q193" s="115"/>
      <c r="R193" s="115"/>
      <c r="S193" s="115"/>
      <c r="T193" s="115"/>
      <c r="U193" s="115"/>
      <c r="AA193" s="115"/>
      <c r="AB193" s="115"/>
    </row>
    <row r="194" spans="9:28" x14ac:dyDescent="0.25">
      <c r="I194" s="115"/>
      <c r="J194" s="115"/>
      <c r="K194" s="115"/>
      <c r="L194" s="115"/>
      <c r="M194" s="115"/>
      <c r="N194" s="115"/>
      <c r="O194" s="115"/>
      <c r="P194" s="115"/>
      <c r="Q194" s="115"/>
      <c r="R194" s="115"/>
      <c r="S194" s="115"/>
      <c r="T194" s="115"/>
      <c r="U194" s="115"/>
      <c r="AA194" s="115"/>
      <c r="AB194" s="115"/>
    </row>
    <row r="195" spans="9:28" ht="23" x14ac:dyDescent="0.3">
      <c r="I195" s="115"/>
      <c r="J195" s="116"/>
      <c r="K195" s="115"/>
      <c r="L195" s="115"/>
      <c r="M195" s="115"/>
      <c r="N195" s="115"/>
      <c r="O195" s="115"/>
      <c r="P195" s="115"/>
      <c r="Q195" s="115"/>
      <c r="R195" s="115"/>
      <c r="S195" s="115"/>
      <c r="T195" s="115"/>
      <c r="U195" s="115"/>
      <c r="AA195" s="115"/>
      <c r="AB195" s="115"/>
    </row>
    <row r="196" spans="9:28" x14ac:dyDescent="0.25">
      <c r="I196" s="115"/>
      <c r="J196" s="115"/>
      <c r="K196" s="115"/>
      <c r="L196" s="115"/>
      <c r="M196" s="115"/>
      <c r="N196" s="115"/>
      <c r="O196" s="115"/>
      <c r="P196" s="115"/>
      <c r="Q196" s="115"/>
      <c r="R196" s="115"/>
      <c r="S196" s="115"/>
      <c r="T196" s="115"/>
      <c r="U196" s="115"/>
      <c r="AA196" s="115"/>
      <c r="AB196" s="115"/>
    </row>
    <row r="197" spans="9:28" x14ac:dyDescent="0.25">
      <c r="I197" s="115"/>
      <c r="J197" s="115"/>
      <c r="K197" s="115"/>
      <c r="L197" s="115"/>
      <c r="M197" s="115"/>
      <c r="N197" s="115"/>
      <c r="O197" s="115"/>
      <c r="P197" s="115"/>
      <c r="Q197" s="115"/>
      <c r="R197" s="115"/>
      <c r="S197" s="115"/>
      <c r="T197" s="115"/>
      <c r="U197" s="115"/>
      <c r="AA197" s="115"/>
      <c r="AB197" s="115"/>
    </row>
    <row r="198" spans="9:28" x14ac:dyDescent="0.25">
      <c r="I198" s="115"/>
      <c r="J198" s="115"/>
      <c r="K198" s="115"/>
      <c r="L198" s="115"/>
      <c r="M198" s="115"/>
      <c r="N198" s="115"/>
      <c r="O198" s="115"/>
      <c r="P198" s="115"/>
      <c r="Q198" s="115"/>
      <c r="R198" s="115"/>
      <c r="S198" s="115"/>
      <c r="T198" s="115"/>
      <c r="U198" s="115"/>
      <c r="AA198" s="115"/>
      <c r="AB198" s="115"/>
    </row>
    <row r="199" spans="9:28" x14ac:dyDescent="0.25">
      <c r="I199" s="115"/>
      <c r="J199" s="115"/>
      <c r="K199" s="115"/>
      <c r="L199" s="115"/>
      <c r="M199" s="115"/>
      <c r="N199" s="115"/>
      <c r="O199" s="115"/>
      <c r="P199" s="115"/>
      <c r="Q199" s="115"/>
      <c r="R199" s="115"/>
      <c r="S199" s="115"/>
      <c r="T199" s="115"/>
      <c r="U199" s="115"/>
      <c r="AA199" s="115"/>
      <c r="AB199" s="115"/>
    </row>
    <row r="200" spans="9:28" x14ac:dyDescent="0.25">
      <c r="I200" s="115"/>
      <c r="J200" s="115"/>
      <c r="K200" s="115"/>
      <c r="L200" s="115"/>
      <c r="M200" s="115"/>
      <c r="N200" s="115"/>
      <c r="O200" s="115"/>
      <c r="P200" s="115"/>
      <c r="Q200" s="115"/>
      <c r="R200" s="115"/>
      <c r="S200" s="115"/>
      <c r="T200" s="115"/>
      <c r="U200" s="115"/>
      <c r="AA200" s="115"/>
      <c r="AB200" s="115"/>
    </row>
    <row r="201" spans="9:28" x14ac:dyDescent="0.25">
      <c r="I201" s="115"/>
      <c r="J201" s="115"/>
      <c r="K201" s="115"/>
      <c r="L201" s="115"/>
      <c r="M201" s="115"/>
      <c r="N201" s="115"/>
      <c r="O201" s="115"/>
      <c r="P201" s="115"/>
      <c r="Q201" s="115"/>
      <c r="R201" s="115"/>
      <c r="S201" s="115"/>
      <c r="T201" s="115"/>
      <c r="U201" s="115"/>
      <c r="AA201" s="115"/>
      <c r="AB201" s="115"/>
    </row>
    <row r="202" spans="9:28" x14ac:dyDescent="0.25">
      <c r="I202" s="115"/>
      <c r="J202" s="115"/>
      <c r="K202" s="115"/>
      <c r="L202" s="115"/>
      <c r="M202" s="115"/>
      <c r="N202" s="115"/>
      <c r="O202" s="115"/>
      <c r="P202" s="115"/>
      <c r="Q202" s="115"/>
      <c r="R202" s="115"/>
      <c r="S202" s="115"/>
      <c r="T202" s="115"/>
      <c r="U202" s="115"/>
      <c r="AA202" s="115"/>
      <c r="AB202" s="115"/>
    </row>
    <row r="203" spans="9:28" x14ac:dyDescent="0.25">
      <c r="I203" s="115"/>
      <c r="J203" s="115"/>
      <c r="K203" s="115"/>
      <c r="L203" s="115"/>
      <c r="M203" s="115"/>
      <c r="N203" s="115"/>
      <c r="O203" s="115"/>
      <c r="P203" s="115"/>
      <c r="Q203" s="115"/>
      <c r="R203" s="115"/>
      <c r="S203" s="115"/>
      <c r="T203" s="115"/>
      <c r="U203" s="115"/>
      <c r="AA203" s="115"/>
      <c r="AB203" s="115"/>
    </row>
    <row r="204" spans="9:28" x14ac:dyDescent="0.25">
      <c r="I204" s="115"/>
      <c r="J204" s="115"/>
      <c r="K204" s="115"/>
      <c r="L204" s="115"/>
      <c r="M204" s="115"/>
      <c r="N204" s="115"/>
      <c r="O204" s="115"/>
      <c r="P204" s="115"/>
      <c r="Q204" s="115"/>
      <c r="R204" s="115"/>
      <c r="S204" s="115"/>
      <c r="T204" s="115"/>
      <c r="U204" s="115"/>
      <c r="AA204" s="115"/>
      <c r="AB204" s="115"/>
    </row>
    <row r="205" spans="9:28" x14ac:dyDescent="0.25">
      <c r="I205" s="115"/>
      <c r="J205" s="115"/>
      <c r="K205" s="115"/>
      <c r="L205" s="115"/>
      <c r="M205" s="115"/>
      <c r="N205" s="115"/>
      <c r="O205" s="115"/>
      <c r="P205" s="115"/>
      <c r="Q205" s="115"/>
      <c r="R205" s="115"/>
      <c r="S205" s="115"/>
      <c r="T205" s="115"/>
      <c r="U205" s="115"/>
      <c r="AA205" s="115"/>
      <c r="AB205" s="115"/>
    </row>
    <row r="206" spans="9:28" x14ac:dyDescent="0.25">
      <c r="I206" s="115"/>
      <c r="J206" s="115"/>
      <c r="K206" s="115"/>
      <c r="L206" s="115"/>
      <c r="M206" s="115"/>
      <c r="N206" s="115"/>
      <c r="O206" s="115"/>
      <c r="P206" s="115"/>
      <c r="Q206" s="115"/>
      <c r="R206" s="115"/>
      <c r="S206" s="115"/>
      <c r="T206" s="115"/>
      <c r="U206" s="115"/>
      <c r="AA206" s="115"/>
      <c r="AB206" s="115"/>
    </row>
    <row r="207" spans="9:28" x14ac:dyDescent="0.25">
      <c r="I207" s="115"/>
      <c r="J207" s="115"/>
      <c r="K207" s="115"/>
      <c r="L207" s="115"/>
      <c r="M207" s="115"/>
      <c r="N207" s="115"/>
      <c r="O207" s="115"/>
      <c r="P207" s="115"/>
      <c r="Q207" s="115"/>
      <c r="R207" s="115"/>
      <c r="S207" s="115"/>
      <c r="T207" s="115"/>
      <c r="U207" s="115"/>
      <c r="AA207" s="115"/>
      <c r="AB207" s="115"/>
    </row>
    <row r="208" spans="9:28" x14ac:dyDescent="0.25">
      <c r="I208" s="115"/>
      <c r="J208" s="115"/>
      <c r="K208" s="115"/>
      <c r="L208" s="115"/>
      <c r="M208" s="115"/>
      <c r="N208" s="115"/>
      <c r="O208" s="115"/>
      <c r="P208" s="115"/>
      <c r="Q208" s="115"/>
      <c r="R208" s="115"/>
      <c r="S208" s="115"/>
      <c r="T208" s="115"/>
      <c r="U208" s="115"/>
      <c r="AA208" s="115"/>
      <c r="AB208" s="115"/>
    </row>
    <row r="209" spans="9:28" x14ac:dyDescent="0.25">
      <c r="I209" s="115"/>
      <c r="J209" s="115"/>
      <c r="K209" s="115"/>
      <c r="L209" s="115"/>
      <c r="M209" s="115"/>
      <c r="N209" s="115"/>
      <c r="O209" s="115"/>
      <c r="P209" s="115"/>
      <c r="Q209" s="115"/>
      <c r="R209" s="115"/>
      <c r="S209" s="115"/>
      <c r="T209" s="115"/>
      <c r="U209" s="115"/>
      <c r="AA209" s="115"/>
      <c r="AB209" s="115"/>
    </row>
    <row r="210" spans="9:28" x14ac:dyDescent="0.25">
      <c r="I210" s="115"/>
      <c r="J210" s="115"/>
      <c r="K210" s="115"/>
      <c r="L210" s="115"/>
      <c r="M210" s="115"/>
      <c r="N210" s="115"/>
      <c r="O210" s="115"/>
      <c r="P210" s="115"/>
      <c r="Q210" s="115"/>
      <c r="R210" s="115"/>
      <c r="S210" s="115"/>
      <c r="T210" s="115"/>
      <c r="U210" s="115"/>
      <c r="AA210" s="115"/>
      <c r="AB210" s="115"/>
    </row>
    <row r="211" spans="9:28" x14ac:dyDescent="0.25">
      <c r="I211" s="115"/>
      <c r="J211" s="115"/>
      <c r="K211" s="115"/>
      <c r="L211" s="115"/>
      <c r="M211" s="115"/>
      <c r="N211" s="115"/>
      <c r="O211" s="115"/>
      <c r="P211" s="115"/>
      <c r="Q211" s="115"/>
      <c r="R211" s="115"/>
      <c r="S211" s="115"/>
      <c r="T211" s="115"/>
      <c r="U211" s="115"/>
      <c r="AA211" s="115"/>
      <c r="AB211" s="115"/>
    </row>
    <row r="212" spans="9:28" x14ac:dyDescent="0.25">
      <c r="I212" s="115"/>
      <c r="J212" s="115"/>
      <c r="K212" s="115"/>
      <c r="L212" s="115"/>
      <c r="M212" s="115"/>
      <c r="N212" s="115"/>
      <c r="O212" s="115"/>
      <c r="P212" s="115"/>
      <c r="Q212" s="115"/>
      <c r="R212" s="115"/>
      <c r="S212" s="115"/>
      <c r="T212" s="115"/>
      <c r="U212" s="115"/>
      <c r="AA212" s="115"/>
      <c r="AB212" s="115"/>
    </row>
    <row r="213" spans="9:28" x14ac:dyDescent="0.25">
      <c r="I213" s="115"/>
      <c r="J213" s="115"/>
      <c r="K213" s="115"/>
      <c r="L213" s="115"/>
      <c r="M213" s="115"/>
      <c r="N213" s="115"/>
      <c r="O213" s="115"/>
      <c r="P213" s="115"/>
      <c r="Q213" s="115"/>
      <c r="R213" s="115"/>
      <c r="S213" s="115"/>
      <c r="T213" s="115"/>
      <c r="U213" s="115"/>
      <c r="AA213" s="115"/>
      <c r="AB213" s="115"/>
    </row>
    <row r="214" spans="9:28" x14ac:dyDescent="0.25">
      <c r="I214" s="115"/>
      <c r="J214" s="115"/>
      <c r="K214" s="115"/>
      <c r="L214" s="115"/>
      <c r="M214" s="115"/>
      <c r="N214" s="115"/>
      <c r="O214" s="115"/>
      <c r="P214" s="115"/>
      <c r="Q214" s="115"/>
      <c r="R214" s="115"/>
      <c r="S214" s="115"/>
      <c r="T214" s="115"/>
      <c r="U214" s="115"/>
      <c r="AA214" s="115"/>
      <c r="AB214" s="115"/>
    </row>
    <row r="215" spans="9:28" x14ac:dyDescent="0.25">
      <c r="I215" s="115"/>
      <c r="J215" s="115"/>
      <c r="K215" s="115"/>
      <c r="L215" s="115"/>
      <c r="M215" s="115"/>
      <c r="N215" s="115"/>
      <c r="O215" s="115"/>
      <c r="P215" s="115"/>
      <c r="Q215" s="115"/>
      <c r="R215" s="115"/>
      <c r="S215" s="115"/>
      <c r="T215" s="115"/>
      <c r="U215" s="115"/>
      <c r="AA215" s="115"/>
      <c r="AB215" s="115"/>
    </row>
    <row r="216" spans="9:28" x14ac:dyDescent="0.25">
      <c r="I216" s="115"/>
      <c r="J216" s="115"/>
      <c r="K216" s="115"/>
      <c r="L216" s="115"/>
      <c r="M216" s="115"/>
      <c r="N216" s="115"/>
      <c r="O216" s="115"/>
      <c r="P216" s="115"/>
      <c r="Q216" s="115"/>
      <c r="R216" s="115"/>
      <c r="S216" s="115"/>
      <c r="T216" s="115"/>
      <c r="U216" s="115"/>
      <c r="AA216" s="115"/>
      <c r="AB216" s="115"/>
    </row>
    <row r="217" spans="9:28" x14ac:dyDescent="0.25">
      <c r="I217" s="115"/>
      <c r="J217" s="115"/>
      <c r="K217" s="115"/>
      <c r="L217" s="115"/>
      <c r="M217" s="115"/>
      <c r="N217" s="115"/>
      <c r="O217" s="115"/>
      <c r="P217" s="115"/>
      <c r="Q217" s="115"/>
      <c r="R217" s="115"/>
      <c r="S217" s="115"/>
      <c r="T217" s="115"/>
      <c r="U217" s="115"/>
      <c r="AA217" s="115"/>
      <c r="AB217" s="115"/>
    </row>
    <row r="218" spans="9:28" x14ac:dyDescent="0.25">
      <c r="I218" s="115"/>
      <c r="J218" s="115"/>
      <c r="K218" s="115"/>
      <c r="L218" s="115"/>
      <c r="M218" s="115"/>
      <c r="N218" s="115"/>
      <c r="O218" s="115"/>
      <c r="P218" s="115"/>
      <c r="Q218" s="115"/>
      <c r="R218" s="115"/>
      <c r="S218" s="115"/>
      <c r="T218" s="115"/>
      <c r="U218" s="115"/>
      <c r="AA218" s="115"/>
      <c r="AB218" s="115"/>
    </row>
    <row r="219" spans="9:28" x14ac:dyDescent="0.25">
      <c r="I219" s="115"/>
      <c r="J219" s="115"/>
      <c r="K219" s="115"/>
      <c r="L219" s="115"/>
      <c r="M219" s="115"/>
      <c r="N219" s="115"/>
      <c r="O219" s="115"/>
      <c r="P219" s="115"/>
      <c r="Q219" s="115"/>
      <c r="R219" s="115"/>
      <c r="S219" s="115"/>
      <c r="T219" s="115"/>
      <c r="U219" s="115"/>
      <c r="AA219" s="115"/>
      <c r="AB219" s="115"/>
    </row>
    <row r="220" spans="9:28" x14ac:dyDescent="0.25">
      <c r="I220" s="115"/>
      <c r="J220" s="115"/>
      <c r="K220" s="115"/>
      <c r="L220" s="115"/>
      <c r="M220" s="115"/>
      <c r="N220" s="115"/>
      <c r="O220" s="115"/>
      <c r="P220" s="115"/>
      <c r="Q220" s="115"/>
      <c r="R220" s="115"/>
      <c r="S220" s="115"/>
      <c r="T220" s="115"/>
      <c r="U220" s="115"/>
      <c r="AA220" s="115"/>
      <c r="AB220" s="115"/>
    </row>
    <row r="221" spans="9:28" x14ac:dyDescent="0.25">
      <c r="I221" s="115"/>
      <c r="J221" s="115"/>
      <c r="K221" s="115"/>
      <c r="L221" s="115"/>
      <c r="M221" s="115"/>
      <c r="N221" s="115"/>
      <c r="O221" s="115"/>
      <c r="P221" s="115"/>
      <c r="Q221" s="115"/>
      <c r="R221" s="115"/>
      <c r="S221" s="115"/>
      <c r="T221" s="115"/>
      <c r="U221" s="115"/>
      <c r="AA221" s="115"/>
      <c r="AB221" s="115"/>
    </row>
    <row r="222" spans="9:28" x14ac:dyDescent="0.25">
      <c r="I222" s="115"/>
      <c r="J222" s="115"/>
      <c r="K222" s="115"/>
      <c r="L222" s="115"/>
      <c r="M222" s="115"/>
      <c r="N222" s="115"/>
      <c r="O222" s="115"/>
      <c r="P222" s="115"/>
      <c r="Q222" s="115"/>
      <c r="R222" s="115"/>
      <c r="S222" s="115"/>
      <c r="T222" s="115"/>
      <c r="U222" s="115"/>
      <c r="AA222" s="115"/>
      <c r="AB222" s="115"/>
    </row>
    <row r="223" spans="9:28" x14ac:dyDescent="0.25">
      <c r="I223" s="115"/>
      <c r="J223" s="115"/>
      <c r="K223" s="115"/>
      <c r="L223" s="115"/>
      <c r="M223" s="115"/>
      <c r="N223" s="115"/>
      <c r="O223" s="115"/>
      <c r="P223" s="115"/>
      <c r="Q223" s="115"/>
      <c r="R223" s="115"/>
      <c r="S223" s="115"/>
      <c r="T223" s="115"/>
      <c r="U223" s="115"/>
      <c r="AA223" s="115"/>
      <c r="AB223" s="115"/>
    </row>
    <row r="224" spans="9:28" x14ac:dyDescent="0.25">
      <c r="I224" s="115"/>
      <c r="J224" s="115"/>
      <c r="K224" s="115"/>
      <c r="L224" s="115"/>
      <c r="M224" s="115"/>
      <c r="N224" s="115"/>
      <c r="O224" s="115"/>
      <c r="P224" s="115"/>
      <c r="Q224" s="115"/>
      <c r="R224" s="115"/>
      <c r="S224" s="115"/>
      <c r="T224" s="115"/>
      <c r="U224" s="115"/>
      <c r="AA224" s="115"/>
      <c r="AB224" s="115"/>
    </row>
    <row r="225" spans="9:28" x14ac:dyDescent="0.25">
      <c r="I225" s="115"/>
      <c r="J225" s="115"/>
      <c r="K225" s="115"/>
      <c r="L225" s="115"/>
      <c r="M225" s="115"/>
      <c r="N225" s="115"/>
      <c r="O225" s="115"/>
      <c r="P225" s="115"/>
      <c r="Q225" s="115"/>
      <c r="R225" s="115"/>
      <c r="S225" s="115"/>
      <c r="T225" s="115"/>
      <c r="U225" s="115"/>
      <c r="AA225" s="115"/>
      <c r="AB225" s="115"/>
    </row>
    <row r="226" spans="9:28" x14ac:dyDescent="0.25">
      <c r="I226" s="115"/>
      <c r="J226" s="115"/>
      <c r="K226" s="115"/>
      <c r="L226" s="115"/>
      <c r="M226" s="115"/>
      <c r="N226" s="115"/>
      <c r="O226" s="115"/>
      <c r="P226" s="115"/>
      <c r="Q226" s="115"/>
      <c r="R226" s="115"/>
      <c r="S226" s="115"/>
      <c r="T226" s="115"/>
      <c r="U226" s="115"/>
      <c r="AA226" s="115"/>
      <c r="AB226" s="115"/>
    </row>
    <row r="227" spans="9:28" x14ac:dyDescent="0.25">
      <c r="I227" s="115"/>
      <c r="J227" s="115"/>
      <c r="K227" s="115"/>
      <c r="L227" s="115"/>
      <c r="M227" s="115"/>
      <c r="N227" s="115"/>
      <c r="O227" s="115"/>
      <c r="P227" s="115"/>
      <c r="Q227" s="115"/>
      <c r="R227" s="115"/>
      <c r="S227" s="115"/>
      <c r="T227" s="115"/>
      <c r="U227" s="115"/>
      <c r="AA227" s="115"/>
      <c r="AB227" s="115"/>
    </row>
    <row r="228" spans="9:28" x14ac:dyDescent="0.25">
      <c r="I228" s="115"/>
      <c r="J228" s="115"/>
      <c r="K228" s="115"/>
      <c r="L228" s="115"/>
      <c r="M228" s="115"/>
      <c r="N228" s="115"/>
      <c r="O228" s="115"/>
      <c r="P228" s="115"/>
      <c r="Q228" s="115"/>
      <c r="R228" s="115"/>
      <c r="S228" s="115"/>
      <c r="T228" s="115"/>
      <c r="U228" s="115"/>
      <c r="AA228" s="115"/>
      <c r="AB228" s="115"/>
    </row>
    <row r="229" spans="9:28" x14ac:dyDescent="0.25">
      <c r="I229" s="115"/>
      <c r="J229" s="115"/>
      <c r="K229" s="115"/>
      <c r="L229" s="115"/>
      <c r="M229" s="115"/>
      <c r="N229" s="115"/>
      <c r="O229" s="115"/>
      <c r="P229" s="115"/>
      <c r="Q229" s="115"/>
      <c r="R229" s="115"/>
      <c r="S229" s="115"/>
      <c r="T229" s="115"/>
      <c r="U229" s="115"/>
      <c r="AA229" s="115"/>
      <c r="AB229" s="115"/>
    </row>
    <row r="230" spans="9:28" x14ac:dyDescent="0.25">
      <c r="I230" s="115"/>
      <c r="J230" s="115"/>
      <c r="K230" s="115"/>
      <c r="L230" s="115"/>
      <c r="M230" s="115"/>
      <c r="N230" s="115"/>
      <c r="O230" s="115"/>
      <c r="P230" s="115"/>
      <c r="Q230" s="115"/>
      <c r="R230" s="115"/>
      <c r="S230" s="115"/>
      <c r="T230" s="115"/>
      <c r="U230" s="115"/>
      <c r="AA230" s="115"/>
      <c r="AB230" s="115"/>
    </row>
    <row r="231" spans="9:28" x14ac:dyDescent="0.25">
      <c r="I231" s="115"/>
      <c r="J231" s="115"/>
      <c r="K231" s="115"/>
      <c r="L231" s="115"/>
      <c r="M231" s="115"/>
      <c r="N231" s="115"/>
      <c r="O231" s="115"/>
      <c r="P231" s="115"/>
      <c r="Q231" s="115"/>
      <c r="R231" s="115"/>
      <c r="S231" s="115"/>
      <c r="T231" s="115"/>
      <c r="U231" s="115"/>
      <c r="AA231" s="115"/>
      <c r="AB231" s="115"/>
    </row>
    <row r="232" spans="9:28" x14ac:dyDescent="0.25">
      <c r="I232" s="115"/>
      <c r="J232" s="115"/>
      <c r="K232" s="115"/>
      <c r="L232" s="115"/>
      <c r="M232" s="115"/>
      <c r="N232" s="115"/>
      <c r="O232" s="115"/>
      <c r="P232" s="115"/>
      <c r="Q232" s="115"/>
      <c r="R232" s="115"/>
      <c r="S232" s="115"/>
      <c r="T232" s="115"/>
      <c r="U232" s="115"/>
      <c r="AA232" s="115"/>
      <c r="AB232" s="115"/>
    </row>
    <row r="233" spans="9:28" x14ac:dyDescent="0.25">
      <c r="I233" s="115"/>
      <c r="J233" s="115"/>
      <c r="K233" s="115"/>
      <c r="L233" s="115"/>
      <c r="M233" s="115"/>
      <c r="N233" s="115"/>
      <c r="O233" s="115"/>
      <c r="P233" s="115"/>
      <c r="Q233" s="115"/>
      <c r="R233" s="115"/>
      <c r="S233" s="115"/>
      <c r="T233" s="115"/>
      <c r="U233" s="115"/>
      <c r="AA233" s="115"/>
      <c r="AB233" s="115"/>
    </row>
    <row r="234" spans="9:28" x14ac:dyDescent="0.25">
      <c r="I234" s="115"/>
      <c r="J234" s="115"/>
      <c r="K234" s="115"/>
      <c r="L234" s="115"/>
      <c r="M234" s="115"/>
      <c r="N234" s="115"/>
      <c r="O234" s="115"/>
      <c r="P234" s="115"/>
      <c r="Q234" s="115"/>
      <c r="R234" s="115"/>
      <c r="S234" s="115"/>
      <c r="T234" s="115"/>
      <c r="U234" s="115"/>
      <c r="AA234" s="115"/>
      <c r="AB234" s="115"/>
    </row>
    <row r="235" spans="9:28" x14ac:dyDescent="0.25">
      <c r="I235" s="115"/>
      <c r="J235" s="115"/>
      <c r="K235" s="115"/>
      <c r="L235" s="115"/>
      <c r="M235" s="115"/>
      <c r="N235" s="115"/>
      <c r="O235" s="115"/>
      <c r="P235" s="115"/>
      <c r="Q235" s="115"/>
      <c r="R235" s="115"/>
      <c r="S235" s="115"/>
      <c r="T235" s="115"/>
      <c r="U235" s="115"/>
      <c r="AA235" s="115"/>
      <c r="AB235" s="115"/>
    </row>
    <row r="236" spans="9:28" x14ac:dyDescent="0.25">
      <c r="I236" s="115"/>
      <c r="J236" s="115"/>
      <c r="K236" s="115"/>
      <c r="L236" s="115"/>
      <c r="M236" s="115"/>
      <c r="N236" s="115"/>
      <c r="O236" s="115"/>
      <c r="P236" s="115"/>
      <c r="Q236" s="115"/>
      <c r="R236" s="115"/>
      <c r="S236" s="115"/>
      <c r="T236" s="115"/>
      <c r="U236" s="115"/>
      <c r="AA236" s="115"/>
      <c r="AB236" s="115"/>
    </row>
    <row r="237" spans="9:28" x14ac:dyDescent="0.25">
      <c r="I237" s="115"/>
      <c r="J237" s="115"/>
      <c r="K237" s="115"/>
      <c r="L237" s="115"/>
      <c r="M237" s="115"/>
      <c r="N237" s="115"/>
      <c r="O237" s="115"/>
      <c r="P237" s="115"/>
      <c r="Q237" s="115"/>
      <c r="R237" s="115"/>
      <c r="S237" s="115"/>
      <c r="T237" s="115"/>
      <c r="U237" s="115"/>
      <c r="AA237" s="115"/>
      <c r="AB237" s="115"/>
    </row>
    <row r="238" spans="9:28" x14ac:dyDescent="0.25">
      <c r="I238" s="115"/>
      <c r="J238" s="115"/>
      <c r="K238" s="115"/>
      <c r="L238" s="115"/>
      <c r="M238" s="115"/>
      <c r="N238" s="115"/>
      <c r="O238" s="115"/>
      <c r="P238" s="115"/>
      <c r="Q238" s="115"/>
      <c r="R238" s="115"/>
      <c r="S238" s="115"/>
      <c r="T238" s="115"/>
      <c r="U238" s="115"/>
      <c r="AA238" s="115"/>
      <c r="AB238" s="115"/>
    </row>
    <row r="239" spans="9:28" x14ac:dyDescent="0.25">
      <c r="I239" s="115"/>
      <c r="J239" s="115"/>
      <c r="K239" s="115"/>
      <c r="L239" s="115"/>
      <c r="M239" s="115"/>
      <c r="N239" s="115"/>
      <c r="O239" s="115"/>
      <c r="P239" s="115"/>
      <c r="Q239" s="115"/>
      <c r="R239" s="115"/>
      <c r="S239" s="115"/>
      <c r="T239" s="115"/>
      <c r="U239" s="115"/>
      <c r="AA239" s="115"/>
      <c r="AB239" s="115"/>
    </row>
    <row r="240" spans="9:28" x14ac:dyDescent="0.25">
      <c r="I240" s="115"/>
      <c r="J240" s="115"/>
      <c r="K240" s="115"/>
      <c r="L240" s="115"/>
      <c r="M240" s="115"/>
      <c r="N240" s="115"/>
      <c r="O240" s="115"/>
      <c r="P240" s="115"/>
      <c r="Q240" s="115"/>
      <c r="R240" s="115"/>
      <c r="S240" s="115"/>
      <c r="T240" s="115"/>
      <c r="U240" s="115"/>
      <c r="AA240" s="115"/>
      <c r="AB240" s="115"/>
    </row>
    <row r="241" spans="9:28" x14ac:dyDescent="0.25">
      <c r="I241" s="115"/>
      <c r="J241" s="115"/>
      <c r="K241" s="115"/>
      <c r="L241" s="115"/>
      <c r="M241" s="115"/>
      <c r="N241" s="115"/>
      <c r="O241" s="115"/>
      <c r="P241" s="115"/>
      <c r="Q241" s="115"/>
      <c r="R241" s="115"/>
      <c r="S241" s="115"/>
      <c r="T241" s="115"/>
      <c r="U241" s="115"/>
      <c r="AA241" s="115"/>
      <c r="AB241" s="115"/>
    </row>
    <row r="242" spans="9:28" x14ac:dyDescent="0.25">
      <c r="I242" s="115"/>
      <c r="J242" s="115"/>
      <c r="K242" s="115"/>
      <c r="L242" s="115"/>
      <c r="M242" s="115"/>
      <c r="N242" s="115"/>
      <c r="O242" s="115"/>
      <c r="P242" s="115"/>
      <c r="Q242" s="115"/>
      <c r="R242" s="115"/>
      <c r="S242" s="115"/>
      <c r="T242" s="115"/>
      <c r="U242" s="115"/>
      <c r="AA242" s="115"/>
      <c r="AB242" s="115"/>
    </row>
    <row r="243" spans="9:28" x14ac:dyDescent="0.25">
      <c r="I243" s="115"/>
      <c r="J243" s="115"/>
      <c r="K243" s="115"/>
      <c r="L243" s="115"/>
      <c r="M243" s="115"/>
      <c r="N243" s="115"/>
      <c r="O243" s="115"/>
      <c r="P243" s="115"/>
      <c r="Q243" s="115"/>
      <c r="R243" s="115"/>
      <c r="S243" s="115"/>
      <c r="T243" s="115"/>
      <c r="U243" s="115"/>
      <c r="AA243" s="115"/>
      <c r="AB243" s="115"/>
    </row>
    <row r="244" spans="9:28" x14ac:dyDescent="0.25">
      <c r="I244" s="115"/>
      <c r="J244" s="115"/>
      <c r="K244" s="115"/>
      <c r="L244" s="115"/>
      <c r="M244" s="115"/>
      <c r="N244" s="115"/>
      <c r="O244" s="115"/>
      <c r="P244" s="115"/>
      <c r="Q244" s="115"/>
      <c r="R244" s="115"/>
      <c r="S244" s="115"/>
      <c r="T244" s="115"/>
      <c r="U244" s="115"/>
      <c r="AA244" s="115"/>
      <c r="AB244" s="115"/>
    </row>
    <row r="245" spans="9:28" x14ac:dyDescent="0.25">
      <c r="I245" s="115"/>
      <c r="J245" s="115"/>
      <c r="K245" s="115"/>
      <c r="L245" s="115"/>
      <c r="M245" s="115"/>
      <c r="N245" s="115"/>
      <c r="O245" s="115"/>
      <c r="P245" s="115"/>
      <c r="Q245" s="115"/>
      <c r="R245" s="115"/>
      <c r="S245" s="115"/>
      <c r="T245" s="115"/>
      <c r="U245" s="115"/>
      <c r="AA245" s="115"/>
      <c r="AB245" s="115"/>
    </row>
    <row r="246" spans="9:28" x14ac:dyDescent="0.25">
      <c r="I246" s="115"/>
      <c r="J246" s="115"/>
      <c r="K246" s="115"/>
      <c r="L246" s="115"/>
      <c r="M246" s="115"/>
      <c r="N246" s="115"/>
      <c r="O246" s="115"/>
      <c r="P246" s="115"/>
      <c r="Q246" s="115"/>
      <c r="R246" s="115"/>
      <c r="S246" s="115"/>
      <c r="T246" s="115"/>
      <c r="U246" s="115"/>
      <c r="AA246" s="115"/>
      <c r="AB246" s="115"/>
    </row>
    <row r="247" spans="9:28" x14ac:dyDescent="0.25">
      <c r="I247" s="115"/>
      <c r="J247" s="115"/>
      <c r="K247" s="115"/>
      <c r="L247" s="115"/>
      <c r="M247" s="115"/>
      <c r="N247" s="115"/>
      <c r="O247" s="115"/>
      <c r="P247" s="115"/>
      <c r="Q247" s="115"/>
      <c r="R247" s="115"/>
      <c r="S247" s="115"/>
      <c r="T247" s="115"/>
      <c r="U247" s="115"/>
      <c r="AA247" s="115"/>
      <c r="AB247" s="115"/>
    </row>
    <row r="248" spans="9:28" x14ac:dyDescent="0.25">
      <c r="I248" s="115"/>
      <c r="J248" s="115"/>
      <c r="K248" s="115"/>
      <c r="L248" s="115"/>
      <c r="M248" s="115"/>
      <c r="N248" s="115"/>
      <c r="O248" s="115"/>
      <c r="P248" s="115"/>
      <c r="Q248" s="115"/>
      <c r="R248" s="115"/>
      <c r="S248" s="115"/>
      <c r="T248" s="115"/>
      <c r="U248" s="115"/>
      <c r="AA248" s="115"/>
      <c r="AB248" s="115"/>
    </row>
    <row r="249" spans="9:28" x14ac:dyDescent="0.25">
      <c r="I249" s="115"/>
      <c r="J249" s="115"/>
      <c r="K249" s="115"/>
      <c r="L249" s="115"/>
      <c r="M249" s="115"/>
      <c r="N249" s="115"/>
      <c r="O249" s="115"/>
      <c r="P249" s="115"/>
      <c r="Q249" s="115"/>
      <c r="R249" s="115"/>
      <c r="S249" s="115"/>
      <c r="T249" s="115"/>
      <c r="U249" s="115"/>
      <c r="AA249" s="115"/>
      <c r="AB249" s="115"/>
    </row>
    <row r="250" spans="9:28" x14ac:dyDescent="0.25">
      <c r="I250" s="115"/>
      <c r="J250" s="115"/>
      <c r="K250" s="115"/>
      <c r="L250" s="115"/>
      <c r="M250" s="115"/>
      <c r="N250" s="115"/>
      <c r="O250" s="115"/>
      <c r="P250" s="115"/>
      <c r="Q250" s="115"/>
      <c r="R250" s="115"/>
      <c r="S250" s="115"/>
      <c r="T250" s="115"/>
      <c r="U250" s="115"/>
      <c r="AA250" s="115"/>
      <c r="AB250" s="115"/>
    </row>
    <row r="251" spans="9:28" x14ac:dyDescent="0.25">
      <c r="I251" s="115"/>
      <c r="J251" s="115"/>
      <c r="K251" s="115"/>
      <c r="L251" s="115"/>
      <c r="M251" s="115"/>
      <c r="N251" s="115"/>
      <c r="O251" s="115"/>
      <c r="P251" s="115"/>
      <c r="Q251" s="115"/>
      <c r="R251" s="115"/>
      <c r="S251" s="115"/>
      <c r="T251" s="115"/>
      <c r="U251" s="115"/>
      <c r="AA251" s="115"/>
      <c r="AB251" s="115"/>
    </row>
    <row r="252" spans="9:28" x14ac:dyDescent="0.25">
      <c r="I252" s="115"/>
      <c r="J252" s="115"/>
      <c r="K252" s="115"/>
      <c r="L252" s="115"/>
      <c r="M252" s="115"/>
      <c r="N252" s="115"/>
      <c r="O252" s="115"/>
      <c r="P252" s="115"/>
      <c r="Q252" s="115"/>
      <c r="R252" s="115"/>
      <c r="S252" s="115"/>
      <c r="T252" s="115"/>
      <c r="U252" s="115"/>
      <c r="AA252" s="115"/>
      <c r="AB252" s="115"/>
    </row>
    <row r="253" spans="9:28" x14ac:dyDescent="0.25">
      <c r="I253" s="115"/>
      <c r="J253" s="115"/>
      <c r="K253" s="115"/>
      <c r="L253" s="115"/>
      <c r="M253" s="115"/>
      <c r="N253" s="115"/>
      <c r="O253" s="115"/>
      <c r="P253" s="115"/>
      <c r="Q253" s="115"/>
      <c r="R253" s="115"/>
      <c r="S253" s="115"/>
      <c r="T253" s="115"/>
      <c r="U253" s="115"/>
      <c r="AA253" s="115"/>
      <c r="AB253" s="115"/>
    </row>
    <row r="254" spans="9:28" x14ac:dyDescent="0.25">
      <c r="I254" s="115"/>
      <c r="J254" s="115"/>
      <c r="K254" s="115"/>
      <c r="L254" s="115"/>
      <c r="M254" s="115"/>
      <c r="N254" s="115"/>
      <c r="O254" s="115"/>
      <c r="P254" s="115"/>
      <c r="Q254" s="115"/>
      <c r="R254" s="115"/>
      <c r="S254" s="115"/>
      <c r="T254" s="115"/>
      <c r="U254" s="115"/>
      <c r="AA254" s="115"/>
      <c r="AB254" s="115"/>
    </row>
    <row r="255" spans="9:28" x14ac:dyDescent="0.25">
      <c r="I255" s="115"/>
      <c r="J255" s="115"/>
      <c r="K255" s="115"/>
      <c r="L255" s="115"/>
      <c r="M255" s="115"/>
      <c r="N255" s="115"/>
      <c r="O255" s="115"/>
      <c r="P255" s="115"/>
      <c r="Q255" s="115"/>
      <c r="R255" s="115"/>
      <c r="S255" s="115"/>
      <c r="T255" s="115"/>
      <c r="U255" s="115"/>
      <c r="AA255" s="115"/>
      <c r="AB255" s="115"/>
    </row>
    <row r="256" spans="9:28" x14ac:dyDescent="0.25">
      <c r="I256" s="115"/>
      <c r="J256" s="115"/>
      <c r="K256" s="115"/>
      <c r="L256" s="115"/>
      <c r="M256" s="115"/>
      <c r="N256" s="115"/>
      <c r="O256" s="115"/>
      <c r="P256" s="115"/>
      <c r="Q256" s="115"/>
      <c r="R256" s="115"/>
      <c r="S256" s="115"/>
      <c r="T256" s="115"/>
      <c r="U256" s="115"/>
      <c r="AA256" s="115"/>
      <c r="AB256" s="115"/>
    </row>
    <row r="257" spans="9:28" x14ac:dyDescent="0.25">
      <c r="I257" s="115"/>
      <c r="J257" s="115"/>
      <c r="K257" s="115"/>
      <c r="L257" s="115"/>
      <c r="M257" s="115"/>
      <c r="N257" s="115"/>
      <c r="O257" s="115"/>
      <c r="P257" s="115"/>
      <c r="Q257" s="115"/>
      <c r="R257" s="115"/>
      <c r="S257" s="115"/>
      <c r="T257" s="115"/>
      <c r="U257" s="115"/>
      <c r="AA257" s="115"/>
      <c r="AB257" s="115"/>
    </row>
    <row r="258" spans="9:28" x14ac:dyDescent="0.25">
      <c r="I258" s="115"/>
      <c r="J258" s="115"/>
      <c r="K258" s="115"/>
      <c r="L258" s="115"/>
      <c r="M258" s="115"/>
      <c r="N258" s="115"/>
      <c r="O258" s="115"/>
      <c r="P258" s="115"/>
      <c r="Q258" s="115"/>
      <c r="R258" s="115"/>
      <c r="S258" s="115"/>
      <c r="T258" s="115"/>
      <c r="U258" s="115"/>
      <c r="AA258" s="115"/>
      <c r="AB258" s="115"/>
    </row>
    <row r="259" spans="9:28" x14ac:dyDescent="0.25">
      <c r="I259" s="115"/>
      <c r="J259" s="115"/>
      <c r="K259" s="115"/>
      <c r="L259" s="115"/>
      <c r="M259" s="115"/>
      <c r="N259" s="115"/>
      <c r="O259" s="115"/>
      <c r="P259" s="115"/>
      <c r="Q259" s="115"/>
      <c r="R259" s="115"/>
      <c r="S259" s="115"/>
      <c r="T259" s="115"/>
      <c r="U259" s="115"/>
      <c r="AA259" s="115"/>
      <c r="AB259" s="115"/>
    </row>
    <row r="260" spans="9:28" x14ac:dyDescent="0.25">
      <c r="I260" s="115"/>
      <c r="J260" s="115"/>
      <c r="K260" s="115"/>
      <c r="L260" s="115"/>
      <c r="M260" s="115"/>
      <c r="N260" s="115"/>
      <c r="O260" s="115"/>
      <c r="P260" s="115"/>
      <c r="Q260" s="115"/>
      <c r="R260" s="115"/>
      <c r="S260" s="115"/>
      <c r="T260" s="115"/>
      <c r="U260" s="115"/>
      <c r="AA260" s="115"/>
      <c r="AB260" s="115"/>
    </row>
    <row r="261" spans="9:28" x14ac:dyDescent="0.25">
      <c r="I261" s="115"/>
      <c r="J261" s="115"/>
      <c r="K261" s="115"/>
      <c r="L261" s="115"/>
      <c r="M261" s="115"/>
      <c r="N261" s="115"/>
      <c r="O261" s="115"/>
      <c r="P261" s="115"/>
      <c r="Q261" s="115"/>
      <c r="R261" s="115"/>
      <c r="S261" s="115"/>
      <c r="T261" s="115"/>
      <c r="U261" s="115"/>
      <c r="AA261" s="115"/>
      <c r="AB261" s="115"/>
    </row>
    <row r="262" spans="9:28" x14ac:dyDescent="0.25">
      <c r="I262" s="115"/>
      <c r="J262" s="115"/>
      <c r="K262" s="115"/>
      <c r="L262" s="115"/>
      <c r="M262" s="115"/>
      <c r="N262" s="115"/>
      <c r="O262" s="115"/>
      <c r="P262" s="115"/>
      <c r="Q262" s="115"/>
      <c r="R262" s="115"/>
      <c r="S262" s="115"/>
      <c r="T262" s="115"/>
      <c r="U262" s="115"/>
      <c r="AA262" s="115"/>
      <c r="AB262" s="115"/>
    </row>
    <row r="263" spans="9:28" x14ac:dyDescent="0.25">
      <c r="I263" s="115"/>
      <c r="J263" s="115"/>
      <c r="K263" s="115"/>
      <c r="L263" s="115"/>
      <c r="M263" s="115"/>
      <c r="N263" s="115"/>
      <c r="O263" s="115"/>
      <c r="P263" s="115"/>
      <c r="Q263" s="115"/>
      <c r="R263" s="115"/>
      <c r="S263" s="115"/>
      <c r="T263" s="115"/>
      <c r="U263" s="115"/>
      <c r="AA263" s="115"/>
      <c r="AB263" s="115"/>
    </row>
    <row r="264" spans="9:28" x14ac:dyDescent="0.25">
      <c r="I264" s="115"/>
      <c r="J264" s="115"/>
      <c r="K264" s="115"/>
      <c r="L264" s="115"/>
      <c r="M264" s="115"/>
      <c r="N264" s="115"/>
      <c r="O264" s="115"/>
      <c r="P264" s="115"/>
      <c r="Q264" s="115"/>
      <c r="R264" s="115"/>
      <c r="S264" s="115"/>
      <c r="T264" s="115"/>
      <c r="U264" s="115"/>
      <c r="AA264" s="115"/>
      <c r="AB264" s="115"/>
    </row>
    <row r="265" spans="9:28" x14ac:dyDescent="0.25">
      <c r="I265" s="115"/>
      <c r="J265" s="115"/>
      <c r="K265" s="115"/>
      <c r="L265" s="115"/>
      <c r="M265" s="115"/>
      <c r="N265" s="115"/>
      <c r="O265" s="115"/>
      <c r="P265" s="115"/>
      <c r="Q265" s="115"/>
      <c r="R265" s="115"/>
      <c r="S265" s="115"/>
      <c r="T265" s="115"/>
      <c r="U265" s="115"/>
      <c r="AA265" s="115"/>
      <c r="AB265" s="115"/>
    </row>
    <row r="266" spans="9:28" x14ac:dyDescent="0.25">
      <c r="I266" s="115"/>
      <c r="J266" s="115"/>
      <c r="K266" s="115"/>
      <c r="L266" s="115"/>
      <c r="M266" s="115"/>
      <c r="N266" s="115"/>
      <c r="O266" s="115"/>
      <c r="P266" s="115"/>
      <c r="Q266" s="115"/>
      <c r="R266" s="115"/>
      <c r="S266" s="115"/>
      <c r="T266" s="115"/>
      <c r="U266" s="115"/>
      <c r="AA266" s="115"/>
      <c r="AB266" s="115"/>
    </row>
    <row r="267" spans="9:28" x14ac:dyDescent="0.25">
      <c r="I267" s="115"/>
      <c r="J267" s="115"/>
      <c r="K267" s="115"/>
      <c r="L267" s="115"/>
      <c r="M267" s="115"/>
      <c r="N267" s="115"/>
      <c r="O267" s="115"/>
      <c r="P267" s="115"/>
      <c r="Q267" s="115"/>
      <c r="R267" s="115"/>
      <c r="S267" s="115"/>
      <c r="T267" s="115"/>
      <c r="U267" s="115"/>
      <c r="AA267" s="115"/>
      <c r="AB267" s="115"/>
    </row>
    <row r="268" spans="9:28" x14ac:dyDescent="0.25">
      <c r="I268" s="115"/>
      <c r="J268" s="115"/>
      <c r="K268" s="115"/>
      <c r="L268" s="115"/>
      <c r="M268" s="115"/>
      <c r="N268" s="115"/>
      <c r="O268" s="115"/>
      <c r="P268" s="115"/>
      <c r="Q268" s="115"/>
      <c r="R268" s="115"/>
      <c r="S268" s="115"/>
      <c r="T268" s="115"/>
      <c r="U268" s="115"/>
      <c r="AA268" s="115"/>
      <c r="AB268" s="115"/>
    </row>
    <row r="269" spans="9:28" x14ac:dyDescent="0.25">
      <c r="I269" s="115"/>
      <c r="J269" s="115"/>
      <c r="K269" s="115"/>
      <c r="L269" s="115"/>
      <c r="M269" s="115"/>
      <c r="N269" s="115"/>
      <c r="O269" s="115"/>
      <c r="P269" s="115"/>
      <c r="Q269" s="115"/>
      <c r="R269" s="115"/>
      <c r="S269" s="115"/>
      <c r="T269" s="115"/>
      <c r="U269" s="115"/>
      <c r="AA269" s="115"/>
      <c r="AB269" s="115"/>
    </row>
    <row r="270" spans="9:28" x14ac:dyDescent="0.25">
      <c r="I270" s="115"/>
      <c r="J270" s="115"/>
      <c r="K270" s="115"/>
      <c r="L270" s="115"/>
      <c r="M270" s="115"/>
      <c r="N270" s="115"/>
      <c r="O270" s="115"/>
      <c r="P270" s="115"/>
      <c r="Q270" s="115"/>
      <c r="R270" s="115"/>
      <c r="S270" s="115"/>
      <c r="T270" s="115"/>
      <c r="U270" s="115"/>
      <c r="AA270" s="115"/>
      <c r="AB270" s="115"/>
    </row>
    <row r="271" spans="9:28" x14ac:dyDescent="0.25">
      <c r="I271" s="115"/>
      <c r="J271" s="115"/>
      <c r="K271" s="115"/>
      <c r="L271" s="115"/>
      <c r="M271" s="115"/>
      <c r="N271" s="115"/>
      <c r="O271" s="115"/>
      <c r="P271" s="115"/>
      <c r="Q271" s="115"/>
      <c r="R271" s="115"/>
      <c r="S271" s="115"/>
      <c r="T271" s="115"/>
      <c r="U271" s="115"/>
      <c r="AA271" s="115"/>
      <c r="AB271" s="115"/>
    </row>
    <row r="272" spans="9:28" x14ac:dyDescent="0.25">
      <c r="I272" s="115"/>
      <c r="J272" s="115"/>
      <c r="K272" s="115"/>
      <c r="L272" s="115"/>
      <c r="M272" s="115"/>
      <c r="N272" s="115"/>
      <c r="O272" s="115"/>
      <c r="P272" s="115"/>
      <c r="Q272" s="115"/>
      <c r="R272" s="115"/>
      <c r="S272" s="115"/>
      <c r="T272" s="115"/>
      <c r="U272" s="115"/>
      <c r="AA272" s="115"/>
      <c r="AB272" s="115"/>
    </row>
    <row r="273" spans="9:28" x14ac:dyDescent="0.25">
      <c r="I273" s="115"/>
      <c r="J273" s="115"/>
      <c r="K273" s="115"/>
      <c r="L273" s="115"/>
      <c r="M273" s="115"/>
      <c r="N273" s="115"/>
      <c r="O273" s="115"/>
      <c r="P273" s="115"/>
      <c r="Q273" s="115"/>
      <c r="R273" s="115"/>
      <c r="S273" s="115"/>
      <c r="T273" s="115"/>
      <c r="U273" s="115"/>
      <c r="AA273" s="115"/>
      <c r="AB273" s="115"/>
    </row>
    <row r="274" spans="9:28" x14ac:dyDescent="0.25">
      <c r="I274" s="115"/>
      <c r="J274" s="115"/>
      <c r="K274" s="115"/>
      <c r="L274" s="115"/>
      <c r="M274" s="115"/>
      <c r="N274" s="115"/>
      <c r="O274" s="115"/>
      <c r="P274" s="115"/>
      <c r="Q274" s="115"/>
      <c r="R274" s="115"/>
      <c r="S274" s="115"/>
      <c r="T274" s="115"/>
      <c r="U274" s="115"/>
      <c r="AA274" s="115"/>
      <c r="AB274" s="115"/>
    </row>
    <row r="275" spans="9:28" x14ac:dyDescent="0.25">
      <c r="I275" s="115"/>
      <c r="J275" s="115"/>
      <c r="K275" s="115"/>
      <c r="L275" s="115"/>
      <c r="M275" s="115"/>
      <c r="N275" s="115"/>
      <c r="O275" s="115"/>
      <c r="P275" s="115"/>
      <c r="Q275" s="115"/>
      <c r="R275" s="115"/>
      <c r="S275" s="115"/>
      <c r="T275" s="115"/>
      <c r="U275" s="115"/>
      <c r="AA275" s="115"/>
      <c r="AB275" s="115"/>
    </row>
    <row r="276" spans="9:28" x14ac:dyDescent="0.25">
      <c r="I276" s="115"/>
      <c r="J276" s="115"/>
      <c r="K276" s="115"/>
      <c r="L276" s="115"/>
      <c r="M276" s="115"/>
      <c r="N276" s="115"/>
      <c r="O276" s="115"/>
      <c r="P276" s="115"/>
      <c r="Q276" s="115"/>
      <c r="R276" s="115"/>
      <c r="S276" s="115"/>
      <c r="T276" s="115"/>
      <c r="U276" s="115"/>
      <c r="AA276" s="115"/>
      <c r="AB276" s="115"/>
    </row>
    <row r="277" spans="9:28" x14ac:dyDescent="0.25">
      <c r="I277" s="115"/>
      <c r="J277" s="115"/>
      <c r="K277" s="115"/>
      <c r="L277" s="115"/>
      <c r="M277" s="115"/>
      <c r="N277" s="115"/>
      <c r="O277" s="115"/>
      <c r="P277" s="115"/>
      <c r="Q277" s="115"/>
      <c r="R277" s="115"/>
      <c r="S277" s="115"/>
      <c r="T277" s="115"/>
      <c r="U277" s="115"/>
      <c r="AA277" s="115"/>
      <c r="AB277" s="115"/>
    </row>
    <row r="278" spans="9:28" x14ac:dyDescent="0.25">
      <c r="I278" s="115"/>
      <c r="J278" s="115"/>
      <c r="K278" s="115"/>
      <c r="L278" s="115"/>
      <c r="M278" s="115"/>
      <c r="N278" s="115"/>
      <c r="O278" s="115"/>
      <c r="P278" s="115"/>
      <c r="Q278" s="115"/>
      <c r="R278" s="115"/>
      <c r="S278" s="115"/>
      <c r="T278" s="115"/>
      <c r="U278" s="115"/>
      <c r="AA278" s="115"/>
      <c r="AB278" s="115"/>
    </row>
    <row r="279" spans="9:28" x14ac:dyDescent="0.25">
      <c r="I279" s="115"/>
      <c r="J279" s="115"/>
      <c r="K279" s="115"/>
      <c r="L279" s="115"/>
      <c r="M279" s="115"/>
      <c r="N279" s="115"/>
      <c r="O279" s="115"/>
      <c r="P279" s="115"/>
      <c r="Q279" s="115"/>
      <c r="R279" s="115"/>
      <c r="S279" s="115"/>
      <c r="T279" s="115"/>
      <c r="U279" s="115"/>
      <c r="AA279" s="115"/>
      <c r="AB279" s="115"/>
    </row>
    <row r="280" spans="9:28" x14ac:dyDescent="0.25">
      <c r="I280" s="115"/>
      <c r="J280" s="115"/>
      <c r="K280" s="115"/>
      <c r="L280" s="115"/>
      <c r="M280" s="115"/>
      <c r="N280" s="115"/>
      <c r="O280" s="115"/>
      <c r="P280" s="115"/>
      <c r="Q280" s="115"/>
      <c r="R280" s="115"/>
      <c r="S280" s="115"/>
      <c r="T280" s="115"/>
      <c r="U280" s="115"/>
      <c r="AA280" s="115"/>
      <c r="AB280" s="115"/>
    </row>
    <row r="281" spans="9:28" x14ac:dyDescent="0.25">
      <c r="I281" s="115"/>
      <c r="J281" s="115"/>
      <c r="K281" s="115"/>
      <c r="L281" s="115"/>
      <c r="M281" s="115"/>
      <c r="N281" s="115"/>
      <c r="O281" s="115"/>
      <c r="P281" s="115"/>
      <c r="Q281" s="115"/>
      <c r="R281" s="115"/>
      <c r="S281" s="115"/>
      <c r="T281" s="115"/>
      <c r="U281" s="115"/>
      <c r="AA281" s="115"/>
      <c r="AB281" s="115"/>
    </row>
    <row r="282" spans="9:28" x14ac:dyDescent="0.25">
      <c r="I282" s="115"/>
      <c r="J282" s="115"/>
      <c r="K282" s="115"/>
      <c r="L282" s="115"/>
      <c r="M282" s="115"/>
      <c r="N282" s="115"/>
      <c r="O282" s="115"/>
      <c r="P282" s="115"/>
      <c r="Q282" s="115"/>
      <c r="R282" s="115"/>
      <c r="S282" s="115"/>
      <c r="T282" s="115"/>
      <c r="U282" s="115"/>
      <c r="AA282" s="115"/>
      <c r="AB282" s="115"/>
    </row>
    <row r="283" spans="9:28" x14ac:dyDescent="0.25">
      <c r="AA283" s="115"/>
      <c r="AB283" s="115"/>
    </row>
    <row r="284" spans="9:28" x14ac:dyDescent="0.25">
      <c r="AA284" s="115"/>
      <c r="AB284" s="115"/>
    </row>
  </sheetData>
  <mergeCells count="13">
    <mergeCell ref="D2:G2"/>
    <mergeCell ref="A1:I1"/>
    <mergeCell ref="J1:R1"/>
    <mergeCell ref="J15:L15"/>
    <mergeCell ref="J13:O13"/>
    <mergeCell ref="S85:U87"/>
    <mergeCell ref="N85:P85"/>
    <mergeCell ref="N97:O97"/>
    <mergeCell ref="J38:L38"/>
    <mergeCell ref="M40:N40"/>
    <mergeCell ref="J75:L75"/>
    <mergeCell ref="N77:O77"/>
    <mergeCell ref="S75:U75"/>
  </mergeCells>
  <phoneticPr fontId="4" type="noConversion"/>
  <pageMargins left="0.7" right="0.7" top="0.75" bottom="0.75" header="0.3" footer="0.3"/>
  <ignoredErrors>
    <ignoredError sqref="H4 H5:H35 K4:N11 K21:M27 K40:K71 K78:K109"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BC3B26-6949-234C-B11F-266573E47EB1}">
  <dimension ref="B2:W176"/>
  <sheetViews>
    <sheetView showGridLines="0" topLeftCell="A70" zoomScale="67" workbookViewId="0">
      <selection activeCell="C6" sqref="C6"/>
    </sheetView>
  </sheetViews>
  <sheetFormatPr baseColWidth="10" defaultRowHeight="18" x14ac:dyDescent="0.25"/>
  <cols>
    <col min="2" max="2" width="19.7109375" customWidth="1"/>
    <col min="3" max="3" width="10.28515625" customWidth="1"/>
    <col min="4" max="4" width="10.7109375" customWidth="1"/>
    <col min="22" max="22" width="8.28515625" bestFit="1" customWidth="1"/>
    <col min="23" max="23" width="29.42578125" bestFit="1" customWidth="1"/>
  </cols>
  <sheetData>
    <row r="2" spans="2:6" ht="20" thickBot="1" x14ac:dyDescent="0.3">
      <c r="B2" s="75" t="s">
        <v>138</v>
      </c>
      <c r="C2" s="75"/>
      <c r="D2" s="75"/>
      <c r="E2" s="75"/>
      <c r="F2" s="75"/>
    </row>
    <row r="3" spans="2:6" x14ac:dyDescent="0.25">
      <c r="B3" s="111" t="s">
        <v>139</v>
      </c>
      <c r="C3" s="111"/>
    </row>
    <row r="6" spans="2:6" ht="38" customHeight="1" x14ac:dyDescent="0.25">
      <c r="B6" s="83" t="s">
        <v>140</v>
      </c>
      <c r="C6" s="84" t="s">
        <v>141</v>
      </c>
    </row>
    <row r="7" spans="2:6" x14ac:dyDescent="0.25">
      <c r="B7" s="40" t="s">
        <v>142</v>
      </c>
      <c r="C7" s="41" t="s">
        <v>143</v>
      </c>
    </row>
    <row r="8" spans="2:6" x14ac:dyDescent="0.25">
      <c r="B8" s="42" t="s">
        <v>144</v>
      </c>
      <c r="C8" s="43" t="s">
        <v>145</v>
      </c>
    </row>
    <row r="10" spans="2:6" x14ac:dyDescent="0.25">
      <c r="B10" t="s">
        <v>146</v>
      </c>
    </row>
    <row r="35" spans="2:23" x14ac:dyDescent="0.25">
      <c r="B35" s="110" t="s">
        <v>147</v>
      </c>
      <c r="C35" s="110"/>
      <c r="D35" s="110"/>
      <c r="E35" s="110"/>
      <c r="F35" s="110"/>
      <c r="G35" s="110"/>
      <c r="H35" s="110"/>
      <c r="I35" s="110"/>
      <c r="J35" s="110"/>
      <c r="K35" s="110"/>
      <c r="L35" s="110"/>
      <c r="M35" s="110"/>
      <c r="N35" s="110"/>
      <c r="O35" s="110"/>
    </row>
    <row r="36" spans="2:23" x14ac:dyDescent="0.25">
      <c r="B36" s="110"/>
      <c r="C36" s="110"/>
      <c r="D36" s="110"/>
      <c r="E36" s="110"/>
      <c r="F36" s="110"/>
      <c r="G36" s="110"/>
      <c r="H36" s="110"/>
      <c r="I36" s="110"/>
      <c r="J36" s="110"/>
      <c r="K36" s="110"/>
      <c r="L36" s="110"/>
      <c r="M36" s="110"/>
      <c r="N36" s="110"/>
      <c r="O36" s="110"/>
    </row>
    <row r="38" spans="2:23" ht="20" thickBot="1" x14ac:dyDescent="0.3">
      <c r="B38" s="75" t="s">
        <v>156</v>
      </c>
      <c r="C38" s="75"/>
      <c r="D38" s="75"/>
      <c r="J38" s="98" t="s">
        <v>158</v>
      </c>
      <c r="K38" s="114"/>
      <c r="L38" s="114"/>
      <c r="M38" s="114"/>
      <c r="N38" s="114"/>
      <c r="O38" s="114"/>
      <c r="P38" s="114"/>
      <c r="R38" s="113" t="s">
        <v>159</v>
      </c>
      <c r="S38" s="113"/>
      <c r="T38" s="113"/>
      <c r="U38" s="113"/>
      <c r="V38" s="113"/>
    </row>
    <row r="39" spans="2:23" x14ac:dyDescent="0.25">
      <c r="B39" s="80" t="s">
        <v>157</v>
      </c>
      <c r="C39" s="80"/>
      <c r="D39" s="80"/>
      <c r="E39" s="80"/>
      <c r="F39" s="23"/>
      <c r="J39" s="114"/>
      <c r="K39" s="114"/>
      <c r="L39" s="114"/>
      <c r="M39" s="114"/>
      <c r="N39" s="114"/>
      <c r="O39" s="114"/>
      <c r="P39" s="114"/>
    </row>
    <row r="40" spans="2:23" x14ac:dyDescent="0.25">
      <c r="B40" s="76" t="s">
        <v>148</v>
      </c>
      <c r="C40" s="77" t="s">
        <v>149</v>
      </c>
      <c r="J40" s="114"/>
      <c r="K40" s="114"/>
      <c r="L40" s="114"/>
      <c r="M40" s="114"/>
      <c r="N40" s="114"/>
      <c r="O40" s="114"/>
      <c r="P40" s="114"/>
      <c r="V40" s="15" t="s">
        <v>160</v>
      </c>
      <c r="W40" s="15" t="s">
        <v>161</v>
      </c>
    </row>
    <row r="41" spans="2:23" x14ac:dyDescent="0.25">
      <c r="B41" s="81" t="s">
        <v>1</v>
      </c>
      <c r="C41" s="48" t="s">
        <v>6</v>
      </c>
      <c r="J41" s="114"/>
      <c r="K41" s="114"/>
      <c r="L41" s="114"/>
      <c r="M41" s="114"/>
      <c r="N41" s="114"/>
      <c r="O41" s="114"/>
      <c r="P41" s="114"/>
      <c r="V41" t="s">
        <v>162</v>
      </c>
      <c r="W41" t="s">
        <v>172</v>
      </c>
    </row>
    <row r="42" spans="2:23" x14ac:dyDescent="0.25">
      <c r="B42" s="81" t="s">
        <v>150</v>
      </c>
      <c r="C42" s="85">
        <f>2747</f>
        <v>2747</v>
      </c>
      <c r="J42" s="114"/>
      <c r="K42" s="114"/>
      <c r="L42" s="114"/>
      <c r="M42" s="114"/>
      <c r="N42" s="114"/>
      <c r="O42" s="114"/>
      <c r="P42" s="114"/>
      <c r="V42" t="s">
        <v>163</v>
      </c>
      <c r="W42" t="s">
        <v>164</v>
      </c>
    </row>
    <row r="43" spans="2:23" x14ac:dyDescent="0.25">
      <c r="B43" s="81" t="s">
        <v>151</v>
      </c>
      <c r="C43" s="85">
        <f>3700</f>
        <v>3700</v>
      </c>
      <c r="J43" s="114"/>
      <c r="K43" s="114"/>
      <c r="L43" s="114"/>
      <c r="M43" s="114"/>
      <c r="N43" s="114"/>
      <c r="O43" s="114"/>
      <c r="P43" s="114"/>
      <c r="V43" t="s">
        <v>165</v>
      </c>
      <c r="W43" t="s">
        <v>166</v>
      </c>
    </row>
    <row r="44" spans="2:23" x14ac:dyDescent="0.25">
      <c r="B44" s="81" t="s">
        <v>152</v>
      </c>
      <c r="C44" s="85">
        <f>6522</f>
        <v>6522</v>
      </c>
      <c r="J44" s="114"/>
      <c r="K44" s="114"/>
      <c r="L44" s="114"/>
      <c r="M44" s="114"/>
      <c r="N44" s="114"/>
      <c r="O44" s="114"/>
      <c r="P44" s="114"/>
      <c r="V44" t="s">
        <v>173</v>
      </c>
      <c r="W44" t="s">
        <v>167</v>
      </c>
    </row>
    <row r="45" spans="2:23" x14ac:dyDescent="0.25">
      <c r="B45" s="81" t="s">
        <v>53</v>
      </c>
      <c r="C45" s="48">
        <f>0.22</f>
        <v>0.22</v>
      </c>
      <c r="J45" s="114"/>
      <c r="K45" s="114"/>
      <c r="L45" s="114"/>
      <c r="M45" s="114"/>
      <c r="N45" s="114"/>
      <c r="O45" s="114"/>
      <c r="P45" s="114"/>
      <c r="V45" t="s">
        <v>168</v>
      </c>
      <c r="W45" t="s">
        <v>169</v>
      </c>
    </row>
    <row r="46" spans="2:23" x14ac:dyDescent="0.25">
      <c r="B46" s="81" t="s">
        <v>153</v>
      </c>
      <c r="C46" s="48">
        <f>0.04</f>
        <v>0.04</v>
      </c>
      <c r="J46" s="114"/>
      <c r="K46" s="114"/>
      <c r="L46" s="114"/>
      <c r="M46" s="114"/>
      <c r="N46" s="114"/>
      <c r="O46" s="114"/>
      <c r="P46" s="114"/>
      <c r="V46" t="s">
        <v>170</v>
      </c>
      <c r="W46" t="s">
        <v>171</v>
      </c>
    </row>
    <row r="47" spans="2:23" x14ac:dyDescent="0.25">
      <c r="B47" s="81" t="s">
        <v>154</v>
      </c>
      <c r="C47" s="48">
        <v>2</v>
      </c>
      <c r="J47" s="114"/>
      <c r="K47" s="114"/>
      <c r="L47" s="114"/>
      <c r="M47" s="114"/>
      <c r="N47" s="114"/>
      <c r="O47" s="114"/>
      <c r="P47" s="114"/>
    </row>
    <row r="48" spans="2:23" x14ac:dyDescent="0.25">
      <c r="B48" s="81" t="s">
        <v>44</v>
      </c>
      <c r="C48" s="86">
        <f>(LN(C44/C43)+(C46+0.5*C45^2)*C47)/(C45*SQRT(C47))</f>
        <v>2.2346125347263031</v>
      </c>
      <c r="J48" s="114"/>
      <c r="K48" s="114"/>
      <c r="L48" s="114"/>
      <c r="M48" s="114"/>
      <c r="N48" s="114"/>
      <c r="O48" s="114"/>
      <c r="P48" s="114"/>
    </row>
    <row r="49" spans="2:16" x14ac:dyDescent="0.25">
      <c r="B49" s="81" t="s">
        <v>45</v>
      </c>
      <c r="C49" s="86">
        <f>C48-(C45*SQRT(C47))</f>
        <v>1.9234855510042221</v>
      </c>
      <c r="J49" s="114"/>
      <c r="K49" s="114"/>
      <c r="L49" s="114"/>
      <c r="M49" s="114"/>
      <c r="N49" s="114"/>
      <c r="O49" s="114"/>
      <c r="P49" s="114"/>
    </row>
    <row r="50" spans="2:16" x14ac:dyDescent="0.25">
      <c r="B50" s="81" t="s">
        <v>155</v>
      </c>
      <c r="C50" s="87">
        <f>_xlfn.NORM.S.DIST(-C49,TRUE)</f>
        <v>2.7209549692272652E-2</v>
      </c>
      <c r="J50" s="114"/>
      <c r="K50" s="114"/>
      <c r="L50" s="114"/>
      <c r="M50" s="114"/>
      <c r="N50" s="114"/>
      <c r="O50" s="114"/>
      <c r="P50" s="114"/>
    </row>
    <row r="51" spans="2:16" x14ac:dyDescent="0.25">
      <c r="B51" s="82" t="s">
        <v>58</v>
      </c>
      <c r="C51" s="49" t="s">
        <v>67</v>
      </c>
      <c r="J51" s="114"/>
      <c r="K51" s="114"/>
      <c r="L51" s="114"/>
      <c r="M51" s="114"/>
      <c r="N51" s="114"/>
      <c r="O51" s="114"/>
      <c r="P51" s="114"/>
    </row>
    <row r="52" spans="2:16" x14ac:dyDescent="0.25">
      <c r="C52" s="4"/>
      <c r="J52" s="114"/>
      <c r="K52" s="114"/>
      <c r="L52" s="114"/>
      <c r="M52" s="114"/>
      <c r="N52" s="114"/>
      <c r="O52" s="114"/>
      <c r="P52" s="114"/>
    </row>
    <row r="53" spans="2:16" x14ac:dyDescent="0.25">
      <c r="J53" s="114"/>
      <c r="K53" s="114"/>
      <c r="L53" s="114"/>
      <c r="M53" s="114"/>
      <c r="N53" s="114"/>
      <c r="O53" s="114"/>
      <c r="P53" s="114"/>
    </row>
    <row r="54" spans="2:16" x14ac:dyDescent="0.25">
      <c r="B54" s="110" t="s">
        <v>174</v>
      </c>
      <c r="C54" s="110"/>
      <c r="D54" s="110"/>
      <c r="E54" s="110"/>
      <c r="F54" s="110"/>
    </row>
    <row r="55" spans="2:16" x14ac:dyDescent="0.25">
      <c r="B55" s="110"/>
      <c r="C55" s="110"/>
      <c r="D55" s="110"/>
      <c r="E55" s="110"/>
      <c r="F55" s="110"/>
    </row>
    <row r="56" spans="2:16" x14ac:dyDescent="0.25">
      <c r="B56" s="110"/>
      <c r="C56" s="110"/>
      <c r="D56" s="110"/>
      <c r="E56" s="110"/>
      <c r="F56" s="110"/>
    </row>
    <row r="57" spans="2:16" x14ac:dyDescent="0.25">
      <c r="B57" s="110"/>
      <c r="C57" s="110"/>
      <c r="D57" s="110"/>
      <c r="E57" s="110"/>
      <c r="F57" s="110"/>
    </row>
    <row r="58" spans="2:16" x14ac:dyDescent="0.25">
      <c r="B58" s="110"/>
      <c r="C58" s="110"/>
      <c r="D58" s="110"/>
      <c r="E58" s="110"/>
      <c r="F58" s="110"/>
    </row>
    <row r="59" spans="2:16" x14ac:dyDescent="0.25">
      <c r="B59" s="110"/>
      <c r="C59" s="110"/>
      <c r="D59" s="110"/>
      <c r="E59" s="110"/>
      <c r="F59" s="110"/>
    </row>
    <row r="60" spans="2:16" x14ac:dyDescent="0.25">
      <c r="B60" s="110"/>
      <c r="C60" s="110"/>
      <c r="D60" s="110"/>
      <c r="E60" s="110"/>
      <c r="F60" s="110"/>
    </row>
    <row r="61" spans="2:16" x14ac:dyDescent="0.25">
      <c r="B61" s="110"/>
      <c r="C61" s="110"/>
      <c r="D61" s="110"/>
      <c r="E61" s="110"/>
      <c r="F61" s="110"/>
    </row>
    <row r="62" spans="2:16" x14ac:dyDescent="0.25">
      <c r="B62" s="110"/>
      <c r="C62" s="110"/>
      <c r="D62" s="110"/>
      <c r="E62" s="110"/>
      <c r="F62" s="110"/>
    </row>
    <row r="63" spans="2:16" x14ac:dyDescent="0.25">
      <c r="B63" s="110"/>
      <c r="C63" s="110"/>
      <c r="D63" s="110"/>
      <c r="E63" s="110"/>
      <c r="F63" s="110"/>
    </row>
    <row r="64" spans="2:16" x14ac:dyDescent="0.25">
      <c r="B64" s="110"/>
      <c r="C64" s="110"/>
      <c r="D64" s="110"/>
      <c r="E64" s="110"/>
      <c r="F64" s="110"/>
    </row>
    <row r="65" spans="2:6" x14ac:dyDescent="0.25">
      <c r="B65" s="110"/>
      <c r="C65" s="110"/>
      <c r="D65" s="110"/>
      <c r="E65" s="110"/>
      <c r="F65" s="110"/>
    </row>
    <row r="69" spans="2:6" ht="33" x14ac:dyDescent="0.4">
      <c r="B69" s="72" t="s">
        <v>175</v>
      </c>
    </row>
    <row r="71" spans="2:6" x14ac:dyDescent="0.25">
      <c r="B71" t="s">
        <v>176</v>
      </c>
    </row>
    <row r="73" spans="2:6" ht="26" x14ac:dyDescent="0.35">
      <c r="B73" s="88" t="s">
        <v>177</v>
      </c>
    </row>
    <row r="75" spans="2:6" x14ac:dyDescent="0.25">
      <c r="B75" t="s">
        <v>178</v>
      </c>
    </row>
    <row r="77" spans="2:6" x14ac:dyDescent="0.25">
      <c r="B77" t="s">
        <v>179</v>
      </c>
    </row>
    <row r="78" spans="2:6" x14ac:dyDescent="0.25">
      <c r="B78" t="s">
        <v>180</v>
      </c>
    </row>
    <row r="79" spans="2:6" x14ac:dyDescent="0.25">
      <c r="B79" t="s">
        <v>181</v>
      </c>
    </row>
    <row r="80" spans="2:6" x14ac:dyDescent="0.25">
      <c r="B80" t="s">
        <v>182</v>
      </c>
    </row>
    <row r="82" spans="2:3" x14ac:dyDescent="0.25">
      <c r="B82" t="s">
        <v>183</v>
      </c>
    </row>
    <row r="84" spans="2:3" ht="26" x14ac:dyDescent="0.35">
      <c r="B84" s="88" t="s">
        <v>184</v>
      </c>
    </row>
    <row r="86" spans="2:3" x14ac:dyDescent="0.25">
      <c r="B86" s="15" t="s">
        <v>185</v>
      </c>
      <c r="C86" s="15" t="s">
        <v>149</v>
      </c>
    </row>
    <row r="87" spans="2:3" x14ac:dyDescent="0.25">
      <c r="B87" t="s">
        <v>186</v>
      </c>
      <c r="C87" s="89">
        <v>3.7999999999999999E-2</v>
      </c>
    </row>
    <row r="88" spans="2:3" x14ac:dyDescent="0.25">
      <c r="B88" t="s">
        <v>187</v>
      </c>
      <c r="C88" s="78">
        <f>99.792</f>
        <v>99.792000000000002</v>
      </c>
    </row>
    <row r="89" spans="2:3" x14ac:dyDescent="0.25">
      <c r="B89" t="s">
        <v>188</v>
      </c>
      <c r="C89" s="90">
        <f>4.634%</f>
        <v>4.6340000000000006E-2</v>
      </c>
    </row>
    <row r="90" spans="2:3" x14ac:dyDescent="0.25">
      <c r="B90" t="s">
        <v>189</v>
      </c>
      <c r="C90" s="79" t="s">
        <v>211</v>
      </c>
    </row>
    <row r="91" spans="2:3" x14ac:dyDescent="0.25">
      <c r="B91" t="s">
        <v>190</v>
      </c>
      <c r="C91" s="79" t="s">
        <v>191</v>
      </c>
    </row>
    <row r="92" spans="2:3" ht="38" x14ac:dyDescent="0.25">
      <c r="B92" t="s">
        <v>192</v>
      </c>
      <c r="C92" s="93" t="s">
        <v>193</v>
      </c>
    </row>
    <row r="94" spans="2:3" ht="26" x14ac:dyDescent="0.35">
      <c r="B94" s="88" t="s">
        <v>194</v>
      </c>
    </row>
    <row r="96" spans="2:3" x14ac:dyDescent="0.25">
      <c r="B96" t="s">
        <v>195</v>
      </c>
    </row>
    <row r="97" spans="2:3" x14ac:dyDescent="0.25">
      <c r="B97" t="s">
        <v>196</v>
      </c>
    </row>
    <row r="99" spans="2:3" x14ac:dyDescent="0.25">
      <c r="B99" t="s">
        <v>197</v>
      </c>
    </row>
    <row r="101" spans="2:3" ht="26" x14ac:dyDescent="0.35">
      <c r="B101" s="88" t="s">
        <v>198</v>
      </c>
    </row>
    <row r="103" spans="2:3" x14ac:dyDescent="0.25">
      <c r="B103" t="s">
        <v>199</v>
      </c>
    </row>
    <row r="105" spans="2:3" x14ac:dyDescent="0.25">
      <c r="B105" t="s">
        <v>200</v>
      </c>
    </row>
    <row r="106" spans="2:3" x14ac:dyDescent="0.25">
      <c r="B106" t="s">
        <v>201</v>
      </c>
    </row>
    <row r="108" spans="2:3" x14ac:dyDescent="0.25">
      <c r="B108" s="15" t="s">
        <v>185</v>
      </c>
      <c r="C108" s="15" t="s">
        <v>149</v>
      </c>
    </row>
    <row r="109" spans="2:3" x14ac:dyDescent="0.25">
      <c r="B109" t="s">
        <v>202</v>
      </c>
      <c r="C109" t="s">
        <v>203</v>
      </c>
    </row>
    <row r="110" spans="2:3" ht="38" x14ac:dyDescent="0.25">
      <c r="B110" s="91" t="s">
        <v>204</v>
      </c>
      <c r="C110" s="92" t="s">
        <v>205</v>
      </c>
    </row>
    <row r="111" spans="2:3" x14ac:dyDescent="0.25">
      <c r="B111" t="s">
        <v>206</v>
      </c>
      <c r="C111" t="s">
        <v>207</v>
      </c>
    </row>
    <row r="113" spans="2:2" ht="26" x14ac:dyDescent="0.35">
      <c r="B113" s="88" t="s">
        <v>208</v>
      </c>
    </row>
    <row r="115" spans="2:2" x14ac:dyDescent="0.25">
      <c r="B115" t="s">
        <v>209</v>
      </c>
    </row>
    <row r="116" spans="2:2" x14ac:dyDescent="0.25">
      <c r="B116" t="s">
        <v>210</v>
      </c>
    </row>
    <row r="129" spans="2:2" ht="33" x14ac:dyDescent="0.4">
      <c r="B129" s="72" t="s">
        <v>212</v>
      </c>
    </row>
    <row r="131" spans="2:2" x14ac:dyDescent="0.25">
      <c r="B131" t="s">
        <v>213</v>
      </c>
    </row>
    <row r="133" spans="2:2" x14ac:dyDescent="0.25">
      <c r="B133" t="s">
        <v>214</v>
      </c>
    </row>
    <row r="134" spans="2:2" x14ac:dyDescent="0.25">
      <c r="B134" t="s">
        <v>215</v>
      </c>
    </row>
    <row r="135" spans="2:2" x14ac:dyDescent="0.25">
      <c r="B135" t="s">
        <v>216</v>
      </c>
    </row>
    <row r="137" spans="2:2" ht="26" x14ac:dyDescent="0.35">
      <c r="B137" s="88" t="s">
        <v>217</v>
      </c>
    </row>
    <row r="139" spans="2:2" x14ac:dyDescent="0.25">
      <c r="B139" t="s">
        <v>218</v>
      </c>
    </row>
    <row r="141" spans="2:2" x14ac:dyDescent="0.25">
      <c r="B141" t="s">
        <v>219</v>
      </c>
    </row>
    <row r="142" spans="2:2" x14ac:dyDescent="0.25">
      <c r="B142" t="s">
        <v>220</v>
      </c>
    </row>
    <row r="144" spans="2:2" x14ac:dyDescent="0.25">
      <c r="B144" t="s">
        <v>221</v>
      </c>
    </row>
    <row r="146" spans="2:2" ht="26" x14ac:dyDescent="0.35">
      <c r="B146" s="88" t="s">
        <v>156</v>
      </c>
    </row>
    <row r="148" spans="2:2" x14ac:dyDescent="0.25">
      <c r="B148" t="s">
        <v>222</v>
      </c>
    </row>
    <row r="149" spans="2:2" x14ac:dyDescent="0.25">
      <c r="B149" t="s">
        <v>223</v>
      </c>
    </row>
    <row r="151" spans="2:2" x14ac:dyDescent="0.25">
      <c r="B151" t="s">
        <v>224</v>
      </c>
    </row>
    <row r="152" spans="2:2" x14ac:dyDescent="0.25">
      <c r="B152" t="s">
        <v>225</v>
      </c>
    </row>
    <row r="153" spans="2:2" x14ac:dyDescent="0.25">
      <c r="B153" t="s">
        <v>226</v>
      </c>
    </row>
    <row r="155" spans="2:2" x14ac:dyDescent="0.25">
      <c r="B155" t="s">
        <v>227</v>
      </c>
    </row>
    <row r="157" spans="2:2" ht="26" x14ac:dyDescent="0.35">
      <c r="B157" s="88" t="s">
        <v>228</v>
      </c>
    </row>
    <row r="159" spans="2:2" x14ac:dyDescent="0.25">
      <c r="B159" t="s">
        <v>229</v>
      </c>
    </row>
    <row r="160" spans="2:2" x14ac:dyDescent="0.25">
      <c r="B160" t="s">
        <v>230</v>
      </c>
    </row>
    <row r="162" spans="2:2" x14ac:dyDescent="0.25">
      <c r="B162" t="s">
        <v>231</v>
      </c>
    </row>
    <row r="163" spans="2:2" x14ac:dyDescent="0.25">
      <c r="B163" t="s">
        <v>232</v>
      </c>
    </row>
    <row r="165" spans="2:2" x14ac:dyDescent="0.25">
      <c r="B165" t="s">
        <v>233</v>
      </c>
    </row>
    <row r="167" spans="2:2" ht="26" x14ac:dyDescent="0.35">
      <c r="B167" s="88" t="s">
        <v>234</v>
      </c>
    </row>
    <row r="169" spans="2:2" x14ac:dyDescent="0.25">
      <c r="B169" t="s">
        <v>235</v>
      </c>
    </row>
    <row r="171" spans="2:2" x14ac:dyDescent="0.25">
      <c r="B171" t="s">
        <v>236</v>
      </c>
    </row>
    <row r="172" spans="2:2" x14ac:dyDescent="0.25">
      <c r="B172" t="s">
        <v>237</v>
      </c>
    </row>
    <row r="173" spans="2:2" x14ac:dyDescent="0.25">
      <c r="B173" t="s">
        <v>238</v>
      </c>
    </row>
    <row r="175" spans="2:2" x14ac:dyDescent="0.25">
      <c r="B175" t="s">
        <v>239</v>
      </c>
    </row>
    <row r="176" spans="2:2" x14ac:dyDescent="0.25">
      <c r="B176" t="s">
        <v>240</v>
      </c>
    </row>
  </sheetData>
  <mergeCells count="5">
    <mergeCell ref="R38:V38"/>
    <mergeCell ref="B54:F65"/>
    <mergeCell ref="B3:C3"/>
    <mergeCell ref="B35:O36"/>
    <mergeCell ref="J38:P5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3</vt:i4>
      </vt:variant>
    </vt:vector>
  </HeadingPairs>
  <TitlesOfParts>
    <vt:vector size="3" baseType="lpstr">
      <vt:lpstr>Corporate Credit Assessment</vt:lpstr>
      <vt:lpstr>Credit Scoring Analysis</vt:lpstr>
      <vt:lpstr>Default Prob. &amp; Credit Spread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Mori Edoardo</cp:lastModifiedBy>
  <cp:revision/>
  <dcterms:created xsi:type="dcterms:W3CDTF">2017-04-13T14:55:53Z</dcterms:created>
  <dcterms:modified xsi:type="dcterms:W3CDTF">2026-05-13T00:50:19Z</dcterms:modified>
  <cp:category/>
  <cp:contentStatus/>
</cp:coreProperties>
</file>